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https://d.docs.live.net/f1f76308889e566f/Documentos/"/>
    </mc:Choice>
  </mc:AlternateContent>
  <xr:revisionPtr revIDLastSave="0" documentId="8_{66D85F2E-A473-034B-84F7-33A84E54752C}" xr6:coauthVersionLast="46" xr6:coauthVersionMax="46" xr10:uidLastSave="{00000000-0000-0000-0000-000000000000}"/>
  <bookViews>
    <workbookView xWindow="-120" yWindow="-120" windowWidth="21840" windowHeight="13140" xr2:uid="{C90E4F5E-9A1C-49EB-8746-8703202A97D3}"/>
  </bookViews>
  <sheets>
    <sheet name="Ativos" sheetId="1" r:id="rId1"/>
    <sheet name="Cotações das Moedas" sheetId="3" r:id="rId2"/>
    <sheet name="Cotação Criptos" sheetId="5" r:id="rId3"/>
  </sheets>
  <definedNames>
    <definedName name="DadosExternos_1" localSheetId="2" hidden="1">'Cotação Criptos'!$A$1:$J$101</definedName>
    <definedName name="DadosExternos_1" localSheetId="1" hidden="1">'Cotações das Moedas'!$A$1:$G$38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 i="1" l="1"/>
  <c r="R4" i="1"/>
  <c r="J42" i="1"/>
  <c r="C62" i="1" a="1"/>
  <c r="C62" i="1"/>
  <c r="E62" i="1" a="1"/>
  <c r="E62" i="1"/>
  <c r="J62" i="1"/>
  <c r="C61" i="1" a="1"/>
  <c r="C61" i="1"/>
  <c r="E61" i="1" a="1"/>
  <c r="E61" i="1"/>
  <c r="J61" i="1"/>
  <c r="C63" i="1" a="1"/>
  <c r="C63" i="1"/>
  <c r="E63" i="1" a="1"/>
  <c r="E63" i="1"/>
  <c r="J63" i="1"/>
  <c r="E42" i="1"/>
  <c r="E43" i="1"/>
  <c r="E44" i="1"/>
  <c r="E45" i="1"/>
  <c r="E46" i="1"/>
  <c r="E41" i="1"/>
  <c r="R3" i="1"/>
  <c r="J60" i="1"/>
  <c r="E60" i="1" a="1"/>
  <c r="E60" i="1"/>
  <c r="C60" i="1" a="1"/>
  <c r="C60" i="1"/>
  <c r="J59" i="1"/>
  <c r="E59" i="1" a="1"/>
  <c r="E59" i="1"/>
  <c r="C59" i="1" a="1"/>
  <c r="C59" i="1"/>
  <c r="J58" i="1"/>
  <c r="E58" i="1" a="1"/>
  <c r="E58" i="1"/>
  <c r="C58" i="1" a="1"/>
  <c r="C58" i="1"/>
  <c r="J57" i="1"/>
  <c r="E57" i="1" a="1"/>
  <c r="E57" i="1"/>
  <c r="C57" i="1" a="1"/>
  <c r="C57" i="1"/>
  <c r="J56" i="1"/>
  <c r="E56" i="1" a="1"/>
  <c r="E56" i="1"/>
  <c r="C56" i="1" a="1"/>
  <c r="C56" i="1"/>
  <c r="J55" i="1"/>
  <c r="E55" i="1" a="1"/>
  <c r="E55" i="1"/>
  <c r="C55" i="1" a="1"/>
  <c r="C55" i="1"/>
  <c r="J54" i="1"/>
  <c r="E54" i="1" a="1"/>
  <c r="E54" i="1"/>
  <c r="C54" i="1" a="1"/>
  <c r="C54" i="1"/>
  <c r="J53" i="1"/>
  <c r="E53" i="1" a="1"/>
  <c r="E53" i="1"/>
  <c r="C53" i="1" a="1"/>
  <c r="C53" i="1"/>
  <c r="J52" i="1"/>
  <c r="E52" i="1" a="1"/>
  <c r="E52" i="1"/>
  <c r="C52" i="1" a="1"/>
  <c r="C52" i="1"/>
  <c r="R6" i="1"/>
  <c r="R5" i="1"/>
  <c r="P3" i="1"/>
  <c r="J47" i="1"/>
  <c r="H43" i="1"/>
  <c r="H41" i="1"/>
  <c r="H46" i="1"/>
  <c r="H45" i="1"/>
  <c r="H44" i="1"/>
  <c r="J35" i="1"/>
  <c r="J36" i="1"/>
  <c r="O3" i="1"/>
  <c r="E34" i="1" a="1"/>
  <c r="E34" i="1"/>
  <c r="H34" i="1"/>
  <c r="C34" i="1" a="1"/>
  <c r="C34" i="1"/>
  <c r="H29" i="1"/>
  <c r="H30" i="1"/>
  <c r="H31" i="1"/>
  <c r="H32" i="1"/>
  <c r="H33" i="1"/>
  <c r="H28" i="1"/>
  <c r="E29" i="1" a="1"/>
  <c r="E29" i="1"/>
  <c r="G29" i="1"/>
  <c r="E30" i="1" a="1"/>
  <c r="E30" i="1"/>
  <c r="G30" i="1"/>
  <c r="E31" i="1" a="1"/>
  <c r="E31" i="1"/>
  <c r="G31" i="1"/>
  <c r="E32" i="1" a="1"/>
  <c r="E32" i="1"/>
  <c r="G32" i="1"/>
  <c r="E33" i="1" a="1"/>
  <c r="E33" i="1"/>
  <c r="G33" i="1"/>
  <c r="E28" i="1" a="1"/>
  <c r="E28" i="1"/>
  <c r="G28" i="1"/>
  <c r="C29" i="1" a="1"/>
  <c r="C29" i="1"/>
  <c r="C30" i="1" a="1"/>
  <c r="C30" i="1"/>
  <c r="C31" i="1" a="1"/>
  <c r="C31" i="1"/>
  <c r="C32" i="1" a="1"/>
  <c r="C32" i="1"/>
  <c r="C33" i="1" a="1"/>
  <c r="C33" i="1"/>
  <c r="C28" i="1" a="1"/>
  <c r="C28" i="1"/>
  <c r="J20" i="1"/>
  <c r="J21" i="1"/>
  <c r="J22" i="1"/>
  <c r="J19" i="1"/>
  <c r="J4" i="1"/>
  <c r="J5" i="1"/>
  <c r="J6" i="1"/>
  <c r="J7" i="1"/>
  <c r="J8" i="1"/>
  <c r="J9" i="1"/>
  <c r="J10" i="1"/>
  <c r="J11" i="1"/>
  <c r="J12" i="1"/>
  <c r="J3" i="1"/>
  <c r="E20" i="1" a="1"/>
  <c r="E20" i="1"/>
  <c r="G20" i="1"/>
  <c r="E21" i="1" a="1"/>
  <c r="E21" i="1"/>
  <c r="G21" i="1"/>
  <c r="E22" i="1" a="1"/>
  <c r="E22" i="1"/>
  <c r="G22" i="1"/>
  <c r="E19" i="1" a="1"/>
  <c r="E19" i="1"/>
  <c r="F19" i="1"/>
  <c r="C20" i="1" a="1"/>
  <c r="C20" i="1"/>
  <c r="C21" i="1" a="1"/>
  <c r="C21" i="1"/>
  <c r="C22" i="1" a="1"/>
  <c r="C22" i="1"/>
  <c r="C19" i="1" a="1"/>
  <c r="C19" i="1"/>
  <c r="E3" i="1" a="1"/>
  <c r="E3" i="1"/>
  <c r="F3" i="1"/>
  <c r="C4" i="1" a="1"/>
  <c r="C4" i="1"/>
  <c r="C5" i="1" a="1"/>
  <c r="C5" i="1"/>
  <c r="C6" i="1" a="1"/>
  <c r="C6" i="1"/>
  <c r="C7" i="1" a="1"/>
  <c r="C7" i="1"/>
  <c r="C8" i="1" a="1"/>
  <c r="C8" i="1"/>
  <c r="C9" i="1" a="1"/>
  <c r="C9" i="1"/>
  <c r="C10" i="1" a="1"/>
  <c r="C10" i="1"/>
  <c r="C11" i="1" a="1"/>
  <c r="C11" i="1"/>
  <c r="C12" i="1" a="1"/>
  <c r="C12" i="1"/>
  <c r="C3" i="1" a="1"/>
  <c r="C3" i="1"/>
  <c r="E4" i="1" a="1"/>
  <c r="E4" i="1"/>
  <c r="F4" i="1"/>
  <c r="E5" i="1" a="1"/>
  <c r="E5" i="1"/>
  <c r="F5" i="1"/>
  <c r="E6" i="1" a="1"/>
  <c r="E6" i="1"/>
  <c r="F6" i="1"/>
  <c r="E7" i="1" a="1"/>
  <c r="E7" i="1"/>
  <c r="F7" i="1"/>
  <c r="E8" i="1" a="1"/>
  <c r="E8" i="1"/>
  <c r="F8" i="1"/>
  <c r="E9" i="1" a="1"/>
  <c r="E9" i="1"/>
  <c r="F9" i="1"/>
  <c r="E10" i="1" a="1"/>
  <c r="E10" i="1"/>
  <c r="F10" i="1"/>
  <c r="E11" i="1" a="1"/>
  <c r="E11" i="1"/>
  <c r="F11" i="1"/>
  <c r="E12" i="1" a="1"/>
  <c r="E12" i="1"/>
  <c r="F12" i="1"/>
  <c r="F62" i="1"/>
  <c r="G62" i="1"/>
  <c r="J64" i="1"/>
  <c r="Q3" i="1"/>
  <c r="F61" i="1"/>
  <c r="G61" i="1"/>
  <c r="F63" i="1"/>
  <c r="G63" i="1"/>
  <c r="J23" i="1"/>
  <c r="N3" i="1"/>
  <c r="G54" i="1"/>
  <c r="F54" i="1"/>
  <c r="G56" i="1"/>
  <c r="F56" i="1"/>
  <c r="G58" i="1"/>
  <c r="F58" i="1"/>
  <c r="F55" i="1"/>
  <c r="G55" i="1"/>
  <c r="G57" i="1"/>
  <c r="F57" i="1"/>
  <c r="G59" i="1"/>
  <c r="F59" i="1"/>
  <c r="F52" i="1"/>
  <c r="G52" i="1"/>
  <c r="G60" i="1"/>
  <c r="F60" i="1"/>
  <c r="G53" i="1"/>
  <c r="F53" i="1"/>
  <c r="J13" i="1"/>
  <c r="M3" i="1"/>
  <c r="F33" i="1"/>
  <c r="F31" i="1"/>
  <c r="F30" i="1"/>
  <c r="F32" i="1"/>
  <c r="F29" i="1"/>
  <c r="F41" i="1"/>
  <c r="G41" i="1"/>
  <c r="G42" i="1"/>
  <c r="F42" i="1"/>
  <c r="G46" i="1"/>
  <c r="F46" i="1"/>
  <c r="F44" i="1"/>
  <c r="G44" i="1"/>
  <c r="G43" i="1"/>
  <c r="F43" i="1"/>
  <c r="G45" i="1"/>
  <c r="F45" i="1"/>
  <c r="F28" i="1"/>
  <c r="F34" i="1"/>
  <c r="G34" i="1"/>
  <c r="F22" i="1"/>
  <c r="F21" i="1"/>
  <c r="F20" i="1"/>
  <c r="G19" i="1"/>
  <c r="G23" i="1"/>
  <c r="N4" i="1"/>
  <c r="G3" i="1"/>
  <c r="G12" i="1"/>
  <c r="G11" i="1"/>
  <c r="G10" i="1"/>
  <c r="G9" i="1"/>
  <c r="G8" i="1"/>
  <c r="G7" i="1"/>
  <c r="G6" i="1"/>
  <c r="G5" i="1"/>
  <c r="G4" i="1"/>
  <c r="G64" i="1"/>
  <c r="Q4" i="1"/>
  <c r="S3" i="1"/>
  <c r="N6" i="1"/>
  <c r="N5" i="1"/>
  <c r="G47" i="1"/>
  <c r="G48" i="1"/>
  <c r="P4" i="1"/>
  <c r="G35" i="1"/>
  <c r="G36" i="1"/>
  <c r="O4" i="1"/>
  <c r="G13" i="1"/>
  <c r="D10" i="1"/>
  <c r="D41" i="1"/>
  <c r="D42" i="1"/>
  <c r="D44" i="1"/>
  <c r="D46" i="1"/>
  <c r="D43" i="1"/>
  <c r="D45" i="1"/>
  <c r="D62" i="1"/>
  <c r="D61" i="1"/>
  <c r="D63" i="1"/>
  <c r="Q5" i="1"/>
  <c r="Q6" i="1"/>
  <c r="D60" i="1"/>
  <c r="D58" i="1"/>
  <c r="D52" i="1"/>
  <c r="D54" i="1"/>
  <c r="D55" i="1"/>
  <c r="D59" i="1"/>
  <c r="D57" i="1"/>
  <c r="D56" i="1"/>
  <c r="D53" i="1"/>
  <c r="D12" i="1"/>
  <c r="D11" i="1"/>
  <c r="D7" i="1"/>
  <c r="M4" i="1"/>
  <c r="O6" i="1"/>
  <c r="O5" i="1"/>
  <c r="D9" i="1"/>
  <c r="D8" i="1"/>
  <c r="P6" i="1"/>
  <c r="P5" i="1"/>
  <c r="D32" i="1"/>
  <c r="D33" i="1"/>
  <c r="D31" i="1"/>
  <c r="D28" i="1"/>
  <c r="D30" i="1"/>
  <c r="D29" i="1"/>
  <c r="D34" i="1"/>
  <c r="D21" i="1"/>
  <c r="D20" i="1"/>
  <c r="D22" i="1"/>
  <c r="D19" i="1"/>
  <c r="D3" i="1"/>
  <c r="D6" i="1"/>
  <c r="D5" i="1"/>
  <c r="D4" i="1"/>
  <c r="M6" i="1"/>
  <c r="S4" i="1"/>
  <c r="M5" i="1"/>
  <c r="S6" i="1"/>
  <c r="S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le 0" description="Conexão com a consulta 'Table 0' na pasta de trabalho." type="5" refreshedVersion="7" background="1" saveData="1">
    <dbPr connection="Provider=Microsoft.Mashup.OleDb.1;Data Source=$Workbook$;Location=&quot;Table 0&quot;;Extended Properties=&quot;&quot;" command="SELECT * FROM [Table 0]"/>
  </connection>
  <connection id="2" xr16:uid="{00000000-0015-0000-FFFF-FFFF01000000}" keepAlive="1" name="Consulta - Table 0 (2)" description="Conexão com a consulta 'Table 0 (2)' na pasta de trabalho." type="5" refreshedVersion="7" background="1" saveData="1">
    <dbPr connection="Provider=Microsoft.Mashup.OleDb.1;Data Source=$Workbook$;Location=&quot;Table 0 (2)&quot;;Extended Properties=&quot;&quot;" command="SELECT * FROM [Table 0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51"/>
        </ext>
      </extLst>
    </bk>
    <bk>
      <extLst>
        <ext uri="{3e2802c4-a4d2-4d8b-9148-e3be6c30e623}">
          <xlrd:rvb i="58"/>
        </ext>
      </extLst>
    </bk>
    <bk>
      <extLst>
        <ext uri="{3e2802c4-a4d2-4d8b-9148-e3be6c30e623}">
          <xlrd:rvb i="64"/>
        </ext>
      </extLst>
    </bk>
    <bk>
      <extLst>
        <ext uri="{3e2802c4-a4d2-4d8b-9148-e3be6c30e623}">
          <xlrd:rvb i="70"/>
        </ext>
      </extLst>
    </bk>
    <bk>
      <extLst>
        <ext uri="{3e2802c4-a4d2-4d8b-9148-e3be6c30e623}">
          <xlrd:rvb i="76"/>
        </ext>
      </extLst>
    </bk>
    <bk>
      <extLst>
        <ext uri="{3e2802c4-a4d2-4d8b-9148-e3be6c30e623}">
          <xlrd:rvb i="82"/>
        </ext>
      </extLst>
    </bk>
    <bk>
      <extLst>
        <ext uri="{3e2802c4-a4d2-4d8b-9148-e3be6c30e623}">
          <xlrd:rvb i="88"/>
        </ext>
      </extLst>
    </bk>
    <bk>
      <extLst>
        <ext uri="{3e2802c4-a4d2-4d8b-9148-e3be6c30e623}">
          <xlrd:rvb i="90"/>
        </ext>
      </extLst>
    </bk>
    <bk>
      <extLst>
        <ext uri="{3e2802c4-a4d2-4d8b-9148-e3be6c30e623}">
          <xlrd:rvb i="92"/>
        </ext>
      </extLst>
    </bk>
    <bk>
      <extLst>
        <ext uri="{3e2802c4-a4d2-4d8b-9148-e3be6c30e623}">
          <xlrd:rvb i="95"/>
        </ext>
      </extLst>
    </bk>
    <bk>
      <extLst>
        <ext uri="{3e2802c4-a4d2-4d8b-9148-e3be6c30e623}">
          <xlrd:rvb i="101"/>
        </ext>
      </extLst>
    </bk>
    <bk>
      <extLst>
        <ext uri="{3e2802c4-a4d2-4d8b-9148-e3be6c30e623}">
          <xlrd:rvb i="104"/>
        </ext>
      </extLst>
    </bk>
    <bk>
      <extLst>
        <ext uri="{3e2802c4-a4d2-4d8b-9148-e3be6c30e623}">
          <xlrd:rvb i="107"/>
        </ext>
      </extLst>
    </bk>
  </futureMetadata>
  <cellMetadata count="1">
    <bk>
      <rc t="1" v="0"/>
    </bk>
  </cellMetadata>
  <valueMetadata count="2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valueMetadata>
</metadata>
</file>

<file path=xl/sharedStrings.xml><?xml version="1.0" encoding="utf-8"?>
<sst xmlns="http://schemas.openxmlformats.org/spreadsheetml/2006/main" count="752" uniqueCount="494">
  <si>
    <t>Ordem</t>
  </si>
  <si>
    <t>TOTAL</t>
  </si>
  <si>
    <t>Ação</t>
  </si>
  <si>
    <t>% do Total</t>
  </si>
  <si>
    <t>Total</t>
  </si>
  <si>
    <t>P. Médio</t>
  </si>
  <si>
    <t>Qtd. Ações</t>
  </si>
  <si>
    <t>Ações Brasileiras</t>
  </si>
  <si>
    <t>Símbolo</t>
  </si>
  <si>
    <t>Nome</t>
  </si>
  <si>
    <t>Último Preço</t>
  </si>
  <si>
    <t>Alterar</t>
  </si>
  <si>
    <t>% Alteração</t>
  </si>
  <si>
    <t>Variação de 52 semanas</t>
  </si>
  <si>
    <t>Gráfico Diário</t>
  </si>
  <si>
    <t>BRLUSD=X</t>
  </si>
  <si>
    <t>BRL/USD</t>
  </si>
  <si>
    <t/>
  </si>
  <si>
    <t>BRLEUR=X</t>
  </si>
  <si>
    <t>BRL/EUR</t>
  </si>
  <si>
    <t>BRLGBP=X</t>
  </si>
  <si>
    <t>BRL/GBP</t>
  </si>
  <si>
    <t>BRLJPY=X</t>
  </si>
  <si>
    <t>BRL/JPY</t>
  </si>
  <si>
    <t>BRLARS=X</t>
  </si>
  <si>
    <t>BRL/ARS</t>
  </si>
  <si>
    <t>BRLINR=X</t>
  </si>
  <si>
    <t>BRL/INR</t>
  </si>
  <si>
    <t>BRLCAD=X</t>
  </si>
  <si>
    <t>BRL/CAD</t>
  </si>
  <si>
    <t>BRLSEK=X</t>
  </si>
  <si>
    <t>BRL/SEK</t>
  </si>
  <si>
    <t>BRLCNY=X</t>
  </si>
  <si>
    <t>BRL/CNY</t>
  </si>
  <si>
    <t>BRLAUD=X</t>
  </si>
  <si>
    <t>BRL/AUD</t>
  </si>
  <si>
    <t>EURUSD=X</t>
  </si>
  <si>
    <t>EUR/USD</t>
  </si>
  <si>
    <t>JPY=X</t>
  </si>
  <si>
    <t>USD/JPY</t>
  </si>
  <si>
    <t>GBPUSD=X</t>
  </si>
  <si>
    <t>GBP/USD</t>
  </si>
  <si>
    <t>CHF=X</t>
  </si>
  <si>
    <t>USD/CHF</t>
  </si>
  <si>
    <t>AUDUSD=X</t>
  </si>
  <si>
    <t>AUD/USD</t>
  </si>
  <si>
    <t>AUDJPY=X</t>
  </si>
  <si>
    <t>AUD/JPY</t>
  </si>
  <si>
    <t>CAD=X</t>
  </si>
  <si>
    <t>USD/CAD</t>
  </si>
  <si>
    <t>NZDUSD=X</t>
  </si>
  <si>
    <t>NZD/USD</t>
  </si>
  <si>
    <t>EURJPY=X</t>
  </si>
  <si>
    <t>EUR/JPY</t>
  </si>
  <si>
    <t>GBPJPY=X</t>
  </si>
  <si>
    <t>GBP/JPY</t>
  </si>
  <si>
    <t>EURGBP=X</t>
  </si>
  <si>
    <t>EUR/GBP</t>
  </si>
  <si>
    <t>EURCAD=X</t>
  </si>
  <si>
    <t>EUR/CAD</t>
  </si>
  <si>
    <t>EURSEK=X</t>
  </si>
  <si>
    <t>EUR/SEK</t>
  </si>
  <si>
    <t>EURCHF=X</t>
  </si>
  <si>
    <t>EUR/CHF</t>
  </si>
  <si>
    <t>EURHUF=X</t>
  </si>
  <si>
    <t>EUR/HUF</t>
  </si>
  <si>
    <t>CNY=X</t>
  </si>
  <si>
    <t>USD/CNY</t>
  </si>
  <si>
    <t>USDHKD=X</t>
  </si>
  <si>
    <t>USD/HKD</t>
  </si>
  <si>
    <t>USDSGD=X</t>
  </si>
  <si>
    <t>USD/SGD</t>
  </si>
  <si>
    <t>INR=X</t>
  </si>
  <si>
    <t>USD/INR</t>
  </si>
  <si>
    <t>USDMXN=X</t>
  </si>
  <si>
    <t>USD/MXN</t>
  </si>
  <si>
    <t>USDPHP=X</t>
  </si>
  <si>
    <t>USD/PHP</t>
  </si>
  <si>
    <t>USDIDR=X</t>
  </si>
  <si>
    <t>USD/IDR</t>
  </si>
  <si>
    <t>USDTHB=X</t>
  </si>
  <si>
    <t>USD/THB</t>
  </si>
  <si>
    <t>USDMYR=X</t>
  </si>
  <si>
    <t>USD/MYR</t>
  </si>
  <si>
    <t>USDZAR=X</t>
  </si>
  <si>
    <t>USD/ZAR</t>
  </si>
  <si>
    <t>USDRUB=X</t>
  </si>
  <si>
    <t>USD/RUB</t>
  </si>
  <si>
    <t>Ticker</t>
  </si>
  <si>
    <t>Valor Hoje</t>
  </si>
  <si>
    <t>V. Pago</t>
  </si>
  <si>
    <r>
      <t xml:space="preserve"> Var. (</t>
    </r>
    <r>
      <rPr>
        <b/>
        <sz val="11"/>
        <color theme="1"/>
        <rFont val="Calibri"/>
        <family val="2"/>
      </rPr>
      <t>±</t>
    </r>
    <r>
      <rPr>
        <b/>
        <sz val="11"/>
        <color theme="1"/>
        <rFont val="Arial"/>
        <family val="2"/>
      </rPr>
      <t>%)</t>
    </r>
  </si>
  <si>
    <t xml:space="preserve">Fundos Imobiliarios </t>
  </si>
  <si>
    <t>Ações Americanas</t>
  </si>
  <si>
    <t>BTC</t>
  </si>
  <si>
    <t>XRP</t>
  </si>
  <si>
    <t>ETC</t>
  </si>
  <si>
    <t>#</t>
  </si>
  <si>
    <t>Column1</t>
  </si>
  <si>
    <t>Código</t>
  </si>
  <si>
    <t>Preço (USD)</t>
  </si>
  <si>
    <t>Capitalização</t>
  </si>
  <si>
    <t>Vol. (24h)</t>
  </si>
  <si>
    <t>Vol. Total</t>
  </si>
  <si>
    <t>Var (24h)</t>
  </si>
  <si>
    <t>Var (7d)</t>
  </si>
  <si>
    <t>Bitcoin</t>
  </si>
  <si>
    <t>Ethereum</t>
  </si>
  <si>
    <t>ETH</t>
  </si>
  <si>
    <t>Binance Coin</t>
  </si>
  <si>
    <t>BNB</t>
  </si>
  <si>
    <t>Ripple</t>
  </si>
  <si>
    <t>Tether</t>
  </si>
  <si>
    <t>USDT</t>
  </si>
  <si>
    <t>Dogecoin</t>
  </si>
  <si>
    <t>DOGE</t>
  </si>
  <si>
    <t>Cardano</t>
  </si>
  <si>
    <t>ADA</t>
  </si>
  <si>
    <t>Polkadot</t>
  </si>
  <si>
    <t>DOT</t>
  </si>
  <si>
    <t>Bitcoin Cash</t>
  </si>
  <si>
    <t>BCH</t>
  </si>
  <si>
    <t>Litecoin</t>
  </si>
  <si>
    <t>LTC</t>
  </si>
  <si>
    <t>Uniswap</t>
  </si>
  <si>
    <t>UNI</t>
  </si>
  <si>
    <t>Chainlink</t>
  </si>
  <si>
    <t>LINK</t>
  </si>
  <si>
    <t>VeChain</t>
  </si>
  <si>
    <t>VET</t>
  </si>
  <si>
    <t>Stellar</t>
  </si>
  <si>
    <t>XLM</t>
  </si>
  <si>
    <t>USD Coin</t>
  </si>
  <si>
    <t>USDC</t>
  </si>
  <si>
    <t>THETA</t>
  </si>
  <si>
    <t>Filecoin</t>
  </si>
  <si>
    <t>FIL</t>
  </si>
  <si>
    <t>TRON</t>
  </si>
  <si>
    <t>TRX</t>
  </si>
  <si>
    <t>Wrapped Bitcoin</t>
  </si>
  <si>
    <t>WBTC</t>
  </si>
  <si>
    <t>Solana</t>
  </si>
  <si>
    <t>SOL</t>
  </si>
  <si>
    <t>Neo</t>
  </si>
  <si>
    <t>NEO</t>
  </si>
  <si>
    <t>Monero</t>
  </si>
  <si>
    <t>XMR</t>
  </si>
  <si>
    <t>DREP</t>
  </si>
  <si>
    <t>$6,74B</t>
  </si>
  <si>
    <t>$27,57M</t>
  </si>
  <si>
    <t>EOS</t>
  </si>
  <si>
    <t>Klaytn</t>
  </si>
  <si>
    <t>KLAY</t>
  </si>
  <si>
    <t>IOTA</t>
  </si>
  <si>
    <t>MIOTA</t>
  </si>
  <si>
    <t>Bitcoin SV</t>
  </si>
  <si>
    <t>BSV</t>
  </si>
  <si>
    <t>Binance USD</t>
  </si>
  <si>
    <t>BUSD</t>
  </si>
  <si>
    <t>BitTorrent</t>
  </si>
  <si>
    <t>BTT</t>
  </si>
  <si>
    <t>Terra</t>
  </si>
  <si>
    <t>LUNA</t>
  </si>
  <si>
    <t>Crypto.com Coin</t>
  </si>
  <si>
    <t>CRO</t>
  </si>
  <si>
    <t>FTX Token</t>
  </si>
  <si>
    <t>FTT</t>
  </si>
  <si>
    <t>Aave</t>
  </si>
  <si>
    <t>AAVE</t>
  </si>
  <si>
    <t>Tezos</t>
  </si>
  <si>
    <t>XTZ</t>
  </si>
  <si>
    <t>Cosmos</t>
  </si>
  <si>
    <t>ATOM</t>
  </si>
  <si>
    <t>Ethereum Classic</t>
  </si>
  <si>
    <t>Algorand</t>
  </si>
  <si>
    <t>ALGO</t>
  </si>
  <si>
    <t>PancakeSwap</t>
  </si>
  <si>
    <t>CAKE</t>
  </si>
  <si>
    <t>Dai</t>
  </si>
  <si>
    <t>DAI</t>
  </si>
  <si>
    <t>Avalanche</t>
  </si>
  <si>
    <t>AVAX</t>
  </si>
  <si>
    <t>Maker</t>
  </si>
  <si>
    <t>MKR</t>
  </si>
  <si>
    <t>NEM</t>
  </si>
  <si>
    <t>XEM</t>
  </si>
  <si>
    <t>Huobi Token</t>
  </si>
  <si>
    <t>HT</t>
  </si>
  <si>
    <t>THORChain</t>
  </si>
  <si>
    <t>RUNE</t>
  </si>
  <si>
    <t>Dash</t>
  </si>
  <si>
    <t>DASH</t>
  </si>
  <si>
    <t>Bitcoin BEP2</t>
  </si>
  <si>
    <t>BTCB</t>
  </si>
  <si>
    <t>Kusama</t>
  </si>
  <si>
    <t>KSM</t>
  </si>
  <si>
    <t>Elrond</t>
  </si>
  <si>
    <t>EGLD</t>
  </si>
  <si>
    <t>Chiliz</t>
  </si>
  <si>
    <t>CHZ</t>
  </si>
  <si>
    <t>Zcash</t>
  </si>
  <si>
    <t>ZEC</t>
  </si>
  <si>
    <t>Holo</t>
  </si>
  <si>
    <t>HOT</t>
  </si>
  <si>
    <t>Decred</t>
  </si>
  <si>
    <t>DCR</t>
  </si>
  <si>
    <t>STX</t>
  </si>
  <si>
    <t>Hedera Hashgraph</t>
  </si>
  <si>
    <t>HBAR</t>
  </si>
  <si>
    <t>Compound</t>
  </si>
  <si>
    <t>COMP</t>
  </si>
  <si>
    <t>UNUS SED LEO</t>
  </si>
  <si>
    <t>LEO</t>
  </si>
  <si>
    <t>Enjin Coin</t>
  </si>
  <si>
    <t>ENJ</t>
  </si>
  <si>
    <t>Decentraland</t>
  </si>
  <si>
    <t>MANA</t>
  </si>
  <si>
    <t>Zilliqa</t>
  </si>
  <si>
    <t>ZIL</t>
  </si>
  <si>
    <t>Siacoin</t>
  </si>
  <si>
    <t>SC</t>
  </si>
  <si>
    <t>The Graph</t>
  </si>
  <si>
    <t>GRT</t>
  </si>
  <si>
    <t>Nexo</t>
  </si>
  <si>
    <t>NEXO</t>
  </si>
  <si>
    <t>Basic Attention Token</t>
  </si>
  <si>
    <t>BAT</t>
  </si>
  <si>
    <t>Synthetix</t>
  </si>
  <si>
    <t>SNX</t>
  </si>
  <si>
    <t>DigiByte</t>
  </si>
  <si>
    <t>DGB</t>
  </si>
  <si>
    <t>TerraUSD</t>
  </si>
  <si>
    <t>UST</t>
  </si>
  <si>
    <t>yearn.finance</t>
  </si>
  <si>
    <t>YFI</t>
  </si>
  <si>
    <t>NEAR Protocol</t>
  </si>
  <si>
    <t>NEAR</t>
  </si>
  <si>
    <t>Polygon</t>
  </si>
  <si>
    <t>MATIC</t>
  </si>
  <si>
    <t>Qtum</t>
  </si>
  <si>
    <t>QTUM</t>
  </si>
  <si>
    <t>UMA</t>
  </si>
  <si>
    <t>Ontology</t>
  </si>
  <si>
    <t>ONT</t>
  </si>
  <si>
    <t>Bitcoin Gold</t>
  </si>
  <si>
    <t>BTG</t>
  </si>
  <si>
    <t>Ravencoin</t>
  </si>
  <si>
    <t>RVN</t>
  </si>
  <si>
    <t>SushiSwap</t>
  </si>
  <si>
    <t>SUSHI</t>
  </si>
  <si>
    <t>Theta Fuel</t>
  </si>
  <si>
    <t>TFUEL</t>
  </si>
  <si>
    <t>Fei Protocol</t>
  </si>
  <si>
    <t>FEI</t>
  </si>
  <si>
    <t>Celsius</t>
  </si>
  <si>
    <t>CEL</t>
  </si>
  <si>
    <t>Waves</t>
  </si>
  <si>
    <t>WAVES</t>
  </si>
  <si>
    <t>0x</t>
  </si>
  <si>
    <t>ZRX</t>
  </si>
  <si>
    <t>ICON</t>
  </si>
  <si>
    <t>ICX</t>
  </si>
  <si>
    <t>Horizen</t>
  </si>
  <si>
    <t>ZEN</t>
  </si>
  <si>
    <t>Nano</t>
  </si>
  <si>
    <t>NANO</t>
  </si>
  <si>
    <t>Bancor</t>
  </si>
  <si>
    <t>BNT</t>
  </si>
  <si>
    <t>Flow</t>
  </si>
  <si>
    <t>FLOW</t>
  </si>
  <si>
    <t>Revain</t>
  </si>
  <si>
    <t>REV</t>
  </si>
  <si>
    <t>$1,10B</t>
  </si>
  <si>
    <t>Reserve Rights</t>
  </si>
  <si>
    <t>RSR</t>
  </si>
  <si>
    <t>Harmony</t>
  </si>
  <si>
    <t>ONE</t>
  </si>
  <si>
    <t>OMG Network</t>
  </si>
  <si>
    <t>OMG</t>
  </si>
  <si>
    <t>SwissBorg</t>
  </si>
  <si>
    <t>CHSB</t>
  </si>
  <si>
    <t>KuCoin Token</t>
  </si>
  <si>
    <t>KCS</t>
  </si>
  <si>
    <t>Celo</t>
  </si>
  <si>
    <t>CELO</t>
  </si>
  <si>
    <t>Helium</t>
  </si>
  <si>
    <t>HNT</t>
  </si>
  <si>
    <t>Ankr</t>
  </si>
  <si>
    <t>ANKR</t>
  </si>
  <si>
    <t>Bitpanda Ecosystem Token</t>
  </si>
  <si>
    <t>BEST</t>
  </si>
  <si>
    <t>OKB</t>
  </si>
  <si>
    <t>Cripto Moedas</t>
  </si>
  <si>
    <t>A. BRL</t>
  </si>
  <si>
    <t>FII'S</t>
  </si>
  <si>
    <t>A. U$D</t>
  </si>
  <si>
    <t>CRIPTOS</t>
  </si>
  <si>
    <t>R. FIXA</t>
  </si>
  <si>
    <t>V. Atual</t>
  </si>
  <si>
    <t>Montante</t>
  </si>
  <si>
    <t xml:space="preserve"> Var. (BRL)</t>
  </si>
  <si>
    <t>PROJETA</t>
  </si>
  <si>
    <t>Pirate Chain</t>
  </si>
  <si>
    <t>ARRR</t>
  </si>
  <si>
    <t>$11,24B</t>
  </si>
  <si>
    <t>Stacks</t>
  </si>
  <si>
    <t>Fantom</t>
  </si>
  <si>
    <t>FTM</t>
  </si>
  <si>
    <t>Dent</t>
  </si>
  <si>
    <t>DENT</t>
  </si>
  <si>
    <t>$6,98B</t>
  </si>
  <si>
    <t>$1,04B</t>
  </si>
  <si>
    <t>$1,14B</t>
  </si>
  <si>
    <t>$1,09B</t>
  </si>
  <si>
    <t>IOST</t>
  </si>
  <si>
    <t>$1,02T</t>
  </si>
  <si>
    <t>$1,41B</t>
  </si>
  <si>
    <t>$1,03B</t>
  </si>
  <si>
    <t>$1,37B</t>
  </si>
  <si>
    <t>$2,01B</t>
  </si>
  <si>
    <t>$1,20B</t>
  </si>
  <si>
    <t>$1,93B</t>
  </si>
  <si>
    <t>$1,61B</t>
  </si>
  <si>
    <t>$1,44B</t>
  </si>
  <si>
    <t>$1,18B</t>
  </si>
  <si>
    <t>$1,07B</t>
  </si>
  <si>
    <t>$7,50B</t>
  </si>
  <si>
    <t>$3,31B</t>
  </si>
  <si>
    <t>$2,24B</t>
  </si>
  <si>
    <t>$2,04B</t>
  </si>
  <si>
    <t>$1,87B</t>
  </si>
  <si>
    <t>$1,83B</t>
  </si>
  <si>
    <t>$1,76B</t>
  </si>
  <si>
    <t>$1,32B</t>
  </si>
  <si>
    <t>$1,16B</t>
  </si>
  <si>
    <t>$1,11B</t>
  </si>
  <si>
    <t>$3,76B</t>
  </si>
  <si>
    <t>$1,60B</t>
  </si>
  <si>
    <t>$1,95B</t>
  </si>
  <si>
    <t>$1,08B</t>
  </si>
  <si>
    <t>$6,47B</t>
  </si>
  <si>
    <t>$6,00B</t>
  </si>
  <si>
    <t>$1,17B</t>
  </si>
  <si>
    <t>$2,42B</t>
  </si>
  <si>
    <t>$3,32B</t>
  </si>
  <si>
    <t>$2,76B</t>
  </si>
  <si>
    <t>$1,84B</t>
  </si>
  <si>
    <t>$44,88B</t>
  </si>
  <si>
    <t>$321,74B</t>
  </si>
  <si>
    <t>$32,55B</t>
  </si>
  <si>
    <t>$91,82B</t>
  </si>
  <si>
    <t>$5,01B</t>
  </si>
  <si>
    <t>$63,76B</t>
  </si>
  <si>
    <t>$8,10B</t>
  </si>
  <si>
    <t>$51,02B</t>
  </si>
  <si>
    <t>$94,11B</t>
  </si>
  <si>
    <t>$44,47B</t>
  </si>
  <si>
    <t>$3,46B</t>
  </si>
  <si>
    <t>$39,96B</t>
  </si>
  <si>
    <t>$7,62B</t>
  </si>
  <si>
    <t>$32,05B</t>
  </si>
  <si>
    <t>$1,54B</t>
  </si>
  <si>
    <t>$22,26B</t>
  </si>
  <si>
    <t>$1,28B</t>
  </si>
  <si>
    <t>$17,36B</t>
  </si>
  <si>
    <t>$3,68B</t>
  </si>
  <si>
    <t>$16,88B</t>
  </si>
  <si>
    <t>$3,01B</t>
  </si>
  <si>
    <t>$15,47B</t>
  </si>
  <si>
    <t>$1,31B</t>
  </si>
  <si>
    <t>$12,54B</t>
  </si>
  <si>
    <t>$2,02B</t>
  </si>
  <si>
    <t>$11,90B</t>
  </si>
  <si>
    <t>$941,82M</t>
  </si>
  <si>
    <t>$11,51B</t>
  </si>
  <si>
    <t>$921,89M</t>
  </si>
  <si>
    <t>$1,88B</t>
  </si>
  <si>
    <t>$11,23B</t>
  </si>
  <si>
    <t>$302,84M</t>
  </si>
  <si>
    <t>$10,40B</t>
  </si>
  <si>
    <t>$916,55M</t>
  </si>
  <si>
    <t>$8,90B</t>
  </si>
  <si>
    <t>$1,97B</t>
  </si>
  <si>
    <t>$8,56B</t>
  </si>
  <si>
    <t>$271,08M</t>
  </si>
  <si>
    <t>$654,01M</t>
  </si>
  <si>
    <t>$7,37B</t>
  </si>
  <si>
    <t>$6,83B</t>
  </si>
  <si>
    <t>$1,06B</t>
  </si>
  <si>
    <t>$6,57B</t>
  </si>
  <si>
    <t>$371,72M</t>
  </si>
  <si>
    <t>$1,01B</t>
  </si>
  <si>
    <t>$190,28M</t>
  </si>
  <si>
    <t>$5,98B</t>
  </si>
  <si>
    <t>$121,59M</t>
  </si>
  <si>
    <t>$5,76B</t>
  </si>
  <si>
    <t>$866,66M</t>
  </si>
  <si>
    <t>$5,69B</t>
  </si>
  <si>
    <t>$1,59B</t>
  </si>
  <si>
    <t>$5,40B</t>
  </si>
  <si>
    <t>$5,07B</t>
  </si>
  <si>
    <t>$107,11M</t>
  </si>
  <si>
    <t>$4,78B</t>
  </si>
  <si>
    <t>$535,91M</t>
  </si>
  <si>
    <t>$4,76B</t>
  </si>
  <si>
    <t>$86,92M</t>
  </si>
  <si>
    <t>$4,65B</t>
  </si>
  <si>
    <t>$850,29M</t>
  </si>
  <si>
    <t>$4,37B</t>
  </si>
  <si>
    <t>$2,77B</t>
  </si>
  <si>
    <t>$4,29B</t>
  </si>
  <si>
    <t>$300,80M</t>
  </si>
  <si>
    <t>$4,13B</t>
  </si>
  <si>
    <t>$232,54M</t>
  </si>
  <si>
    <t>$4,04B</t>
  </si>
  <si>
    <t>$288,29M</t>
  </si>
  <si>
    <t>$4,03B</t>
  </si>
  <si>
    <t>$3,77B</t>
  </si>
  <si>
    <t>$416,64M</t>
  </si>
  <si>
    <t>$203,35M</t>
  </si>
  <si>
    <t>$670,34M</t>
  </si>
  <si>
    <t>$3,44B</t>
  </si>
  <si>
    <t>$117,90M</t>
  </si>
  <si>
    <t>$3,42B</t>
  </si>
  <si>
    <t>$224,56M</t>
  </si>
  <si>
    <t>$180,76M</t>
  </si>
  <si>
    <t>$1,42B</t>
  </si>
  <si>
    <t>$3,13B</t>
  </si>
  <si>
    <t>$91,32M</t>
  </si>
  <si>
    <t>$180,47M</t>
  </si>
  <si>
    <t>$2,98B</t>
  </si>
  <si>
    <t>$270,86M</t>
  </si>
  <si>
    <t>$2,89B</t>
  </si>
  <si>
    <t>$681,50M</t>
  </si>
  <si>
    <t>$27,68M</t>
  </si>
  <si>
    <t>$2,74B</t>
  </si>
  <si>
    <t>$495,59M</t>
  </si>
  <si>
    <t>$2,70B</t>
  </si>
  <si>
    <t>$382,26M</t>
  </si>
  <si>
    <t>$2,43B</t>
  </si>
  <si>
    <t>$23,08M</t>
  </si>
  <si>
    <t>$267,88M</t>
  </si>
  <si>
    <t>$2,33B</t>
  </si>
  <si>
    <t>$2,61M</t>
  </si>
  <si>
    <t>$2,32B</t>
  </si>
  <si>
    <t>$570,33M</t>
  </si>
  <si>
    <t>$2,31B</t>
  </si>
  <si>
    <t>$521,74M</t>
  </si>
  <si>
    <t>$251,58M</t>
  </si>
  <si>
    <t>$2,08B</t>
  </si>
  <si>
    <t>$15,64M</t>
  </si>
  <si>
    <t>$124,53M</t>
  </si>
  <si>
    <t>$144,22M</t>
  </si>
  <si>
    <t>$37,58M</t>
  </si>
  <si>
    <t>$171,21M</t>
  </si>
  <si>
    <t>$50,37M</t>
  </si>
  <si>
    <t>$529,05M</t>
  </si>
  <si>
    <t>$100,10M</t>
  </si>
  <si>
    <t>$190,80M</t>
  </si>
  <si>
    <t>$81,65M</t>
  </si>
  <si>
    <t>$367,99M</t>
  </si>
  <si>
    <t>$360,90M</t>
  </si>
  <si>
    <t>$1,72B</t>
  </si>
  <si>
    <t>$55,44M</t>
  </si>
  <si>
    <t>$176,32M</t>
  </si>
  <si>
    <t>$802,42M</t>
  </si>
  <si>
    <t>$1,53B</t>
  </si>
  <si>
    <t>$34,35M</t>
  </si>
  <si>
    <t>$1,46B</t>
  </si>
  <si>
    <t>$124,66M</t>
  </si>
  <si>
    <t>$102,20M</t>
  </si>
  <si>
    <t>$556,01M</t>
  </si>
  <si>
    <t>$424,60M</t>
  </si>
  <si>
    <t>$7,59M</t>
  </si>
  <si>
    <t>$1,38B</t>
  </si>
  <si>
    <t>$18,66M</t>
  </si>
  <si>
    <t>$161,88M</t>
  </si>
  <si>
    <t>$14,45M</t>
  </si>
  <si>
    <t>$110,00M</t>
  </si>
  <si>
    <t>$138,43M</t>
  </si>
  <si>
    <t>$6,39M</t>
  </si>
  <si>
    <t>$101,95M</t>
  </si>
  <si>
    <t>$197,24M</t>
  </si>
  <si>
    <t>$137,14M</t>
  </si>
  <si>
    <t>$625,87K</t>
  </si>
  <si>
    <t>$224,15M</t>
  </si>
  <si>
    <t>$6,09M</t>
  </si>
  <si>
    <t>$76,20M</t>
  </si>
  <si>
    <t>$308,13M</t>
  </si>
  <si>
    <t>$39,68M</t>
  </si>
  <si>
    <t>$38,81M</t>
  </si>
  <si>
    <t>$58,17M</t>
  </si>
  <si>
    <t>$242,20M</t>
  </si>
  <si>
    <t>$422,10M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</si>
</sst>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7" formatCode="_-[$R$-416]\ * #,##0.00_-;\-[$R$-416]\ * #,##0.00_-;_-[$R$-416]\ * &quot;-&quot;??_-;_-@_-"/>
    <numFmt numFmtId="168" formatCode="_-[$$-409]* #,##0.00_ ;_-[$$-409]* \-#,##0.00\ ;_-[$$-409]* &quot;-&quot;??_ ;_-@_ "/>
    <numFmt numFmtId="169" formatCode="0.0%"/>
    <numFmt numFmtId="170" formatCode="0.000000"/>
  </numFmts>
  <fonts count="6"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1"/>
      <color theme="1"/>
      <name val="Calibri"/>
      <family val="2"/>
    </font>
    <font>
      <b/>
      <sz val="1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0" fontId="0" fillId="0" borderId="0" xfId="0" applyNumberFormat="1"/>
    <xf numFmtId="0" fontId="2" fillId="2" borderId="0" xfId="0" applyFont="1" applyFill="1" applyAlignment="1">
      <alignment horizontal="center"/>
    </xf>
    <xf numFmtId="44" fontId="3" fillId="2" borderId="0" xfId="1" applyFont="1" applyFill="1" applyAlignment="1">
      <alignment horizontal="center"/>
    </xf>
    <xf numFmtId="44" fontId="2" fillId="2" borderId="0" xfId="1" applyFont="1" applyFill="1" applyAlignment="1">
      <alignment horizontal="center"/>
    </xf>
    <xf numFmtId="44" fontId="2" fillId="2" borderId="0" xfId="0" applyNumberFormat="1" applyFont="1" applyFill="1" applyAlignment="1">
      <alignment horizontal="center"/>
    </xf>
    <xf numFmtId="0" fontId="2" fillId="2" borderId="0" xfId="0" applyNumberFormat="1" applyFont="1" applyFill="1" applyAlignment="1">
      <alignment horizontal="center"/>
    </xf>
    <xf numFmtId="167" fontId="2" fillId="2" borderId="0" xfId="0" applyNumberFormat="1" applyFont="1" applyFill="1" applyAlignment="1">
      <alignment horizontal="center"/>
    </xf>
    <xf numFmtId="9" fontId="2" fillId="2" borderId="0" xfId="2" applyFont="1" applyFill="1" applyAlignment="1">
      <alignment horizontal="center"/>
    </xf>
    <xf numFmtId="0" fontId="2" fillId="2" borderId="0" xfId="1" applyNumberFormat="1" applyFont="1" applyFill="1" applyAlignment="1">
      <alignment horizontal="center"/>
    </xf>
    <xf numFmtId="44" fontId="3" fillId="2" borderId="1" xfId="1" applyFont="1" applyFill="1" applyBorder="1" applyAlignment="1">
      <alignment horizontal="center"/>
    </xf>
    <xf numFmtId="0" fontId="3" fillId="2" borderId="1" xfId="0" applyFont="1" applyFill="1" applyBorder="1" applyAlignment="1">
      <alignment horizontal="center"/>
    </xf>
    <xf numFmtId="14" fontId="2" fillId="2" borderId="1" xfId="1" applyNumberFormat="1" applyFont="1" applyFill="1" applyBorder="1" applyAlignment="1">
      <alignment horizontal="center"/>
    </xf>
    <xf numFmtId="0" fontId="2" fillId="2" borderId="1" xfId="0" applyFont="1" applyFill="1" applyBorder="1" applyAlignment="1">
      <alignment horizontal="center"/>
    </xf>
    <xf numFmtId="169" fontId="2" fillId="2" borderId="1" xfId="2" applyNumberFormat="1" applyFont="1" applyFill="1" applyBorder="1" applyAlignment="1">
      <alignment horizontal="center"/>
    </xf>
    <xf numFmtId="44" fontId="2" fillId="2" borderId="1" xfId="1" applyFont="1" applyFill="1" applyBorder="1" applyAlignment="1">
      <alignment horizontal="center"/>
    </xf>
    <xf numFmtId="44" fontId="2" fillId="2" borderId="1" xfId="0" applyNumberFormat="1" applyFont="1" applyFill="1" applyBorder="1" applyAlignment="1">
      <alignment horizontal="center"/>
    </xf>
    <xf numFmtId="0" fontId="2" fillId="2" borderId="1" xfId="0" applyNumberFormat="1" applyFont="1" applyFill="1" applyBorder="1" applyAlignment="1">
      <alignment horizontal="center"/>
    </xf>
    <xf numFmtId="167" fontId="2" fillId="2" borderId="1" xfId="0" applyNumberFormat="1" applyFont="1" applyFill="1" applyBorder="1" applyAlignment="1">
      <alignment horizontal="center"/>
    </xf>
    <xf numFmtId="44" fontId="5" fillId="2" borderId="0" xfId="0" applyNumberFormat="1" applyFont="1" applyFill="1" applyAlignment="1">
      <alignment horizontal="center"/>
    </xf>
    <xf numFmtId="44" fontId="3" fillId="2" borderId="0" xfId="0" applyNumberFormat="1" applyFont="1" applyFill="1" applyAlignment="1">
      <alignment horizontal="center"/>
    </xf>
    <xf numFmtId="10" fontId="3" fillId="2" borderId="1" xfId="2" applyNumberFormat="1" applyFont="1" applyFill="1" applyBorder="1" applyAlignment="1">
      <alignment horizontal="center"/>
    </xf>
    <xf numFmtId="9" fontId="2" fillId="2" borderId="1" xfId="2" applyFont="1" applyFill="1" applyBorder="1" applyAlignment="1">
      <alignment horizontal="center"/>
    </xf>
    <xf numFmtId="14" fontId="2" fillId="2" borderId="1" xfId="0" applyNumberFormat="1" applyFont="1" applyFill="1" applyBorder="1" applyAlignment="1">
      <alignment horizontal="center"/>
    </xf>
    <xf numFmtId="168" fontId="2" fillId="2" borderId="1" xfId="1" applyNumberFormat="1" applyFont="1" applyFill="1" applyBorder="1" applyAlignment="1">
      <alignment horizontal="center"/>
    </xf>
    <xf numFmtId="168" fontId="2" fillId="2" borderId="1" xfId="0" applyNumberFormat="1" applyFont="1" applyFill="1" applyBorder="1" applyAlignment="1">
      <alignment horizontal="center"/>
    </xf>
    <xf numFmtId="2" fontId="2" fillId="2" borderId="1" xfId="0" applyNumberFormat="1" applyFont="1" applyFill="1" applyBorder="1" applyAlignment="1">
      <alignment horizontal="center"/>
    </xf>
    <xf numFmtId="168" fontId="3" fillId="2" borderId="0" xfId="0" applyNumberFormat="1" applyFont="1" applyFill="1" applyAlignment="1">
      <alignment horizontal="center"/>
    </xf>
    <xf numFmtId="167" fontId="3" fillId="2" borderId="0" xfId="0" applyNumberFormat="1" applyFont="1" applyFill="1" applyAlignment="1">
      <alignment horizontal="center"/>
    </xf>
    <xf numFmtId="170" fontId="2" fillId="2" borderId="1" xfId="0" applyNumberFormat="1" applyFont="1" applyFill="1" applyBorder="1" applyAlignment="1">
      <alignment horizontal="center"/>
    </xf>
    <xf numFmtId="0" fontId="5" fillId="2" borderId="1" xfId="0" applyFont="1" applyFill="1" applyBorder="1" applyAlignment="1">
      <alignment horizontal="center"/>
    </xf>
    <xf numFmtId="167" fontId="3" fillId="2" borderId="1" xfId="0" applyNumberFormat="1" applyFont="1" applyFill="1" applyBorder="1" applyAlignment="1">
      <alignment horizontal="center"/>
    </xf>
    <xf numFmtId="44" fontId="3" fillId="2" borderId="1" xfId="0" applyNumberFormat="1" applyFont="1" applyFill="1" applyBorder="1" applyAlignment="1">
      <alignment horizontal="center"/>
    </xf>
    <xf numFmtId="0" fontId="3" fillId="2" borderId="1" xfId="0" applyNumberFormat="1" applyFont="1" applyFill="1" applyBorder="1" applyAlignment="1">
      <alignment horizontal="center"/>
    </xf>
    <xf numFmtId="44" fontId="3" fillId="2" borderId="1" xfId="2" applyNumberFormat="1"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applyAlignment="1">
      <alignment horizontal="center"/>
    </xf>
  </cellXfs>
  <cellStyles count="3">
    <cellStyle name="Moeda" xfId="1" builtinId="4"/>
    <cellStyle name="Normal" xfId="0" builtinId="0"/>
    <cellStyle name="Porcentagem" xfId="2" builtinId="5"/>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connections" Target="connections.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mn-cs"/>
            </a:defRPr>
          </a:pPr>
          <a:endParaRPr lang="pt-BR"/>
        </a:p>
      </c:txPr>
    </c:title>
    <c:autoTitleDeleted val="0"/>
    <c:plotArea>
      <c:layout/>
      <c:doughnutChart>
        <c:varyColors val="1"/>
        <c:ser>
          <c:idx val="0"/>
          <c:order val="0"/>
          <c:tx>
            <c:v>Composição da Carteira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97-4B9B-ACC1-8986A4BE17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97-4B9B-ACC1-8986A4BE17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97-4B9B-ACC1-8986A4BE17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97-4B9B-ACC1-8986A4BE17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97-4B9B-ACC1-8986A4BE17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86-4EC3-80CB-7940B9575A64}"/>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Ativos!$M$2:$R$2</c:f>
              <c:strCache>
                <c:ptCount val="6"/>
                <c:pt idx="0">
                  <c:v>A. BRL</c:v>
                </c:pt>
                <c:pt idx="1">
                  <c:v>FII'S</c:v>
                </c:pt>
                <c:pt idx="2">
                  <c:v>A. U$D</c:v>
                </c:pt>
                <c:pt idx="3">
                  <c:v>CRIPTOS</c:v>
                </c:pt>
                <c:pt idx="4">
                  <c:v>PROJETA</c:v>
                </c:pt>
                <c:pt idx="5">
                  <c:v>R. FIXA</c:v>
                </c:pt>
              </c:strCache>
            </c:strRef>
          </c:cat>
          <c:val>
            <c:numRef>
              <c:f>Ativos!$M$4:$R$4</c:f>
              <c:numCache>
                <c:formatCode>_("R$"* #,##0.00_);_("R$"* \(#,##0.00\);_("R$"* "-"??_);_(@_)</c:formatCode>
                <c:ptCount val="6"/>
                <c:pt idx="0">
                  <c:v>3271.4600000000005</c:v>
                </c:pt>
                <c:pt idx="1">
                  <c:v>3253.29</c:v>
                </c:pt>
                <c:pt idx="2" formatCode="_-[$R$-416]\ * #,##0.00_-;\-[$R$-416]\ * #,##0.00_-;_-[$R$-416]\ * &quot;-&quot;??_-;_-@_-">
                  <c:v>3059.1075254418852</c:v>
                </c:pt>
                <c:pt idx="3" formatCode="_-[$R$-416]\ * #,##0.00_-;\-[$R$-416]\ * #,##0.00_-;_-[$R$-416]\ * &quot;-&quot;??_-;_-@_-">
                  <c:v>977.52825865580928</c:v>
                </c:pt>
                <c:pt idx="4" formatCode="_-[$R$-416]\ * #,##0.00_-;\-[$R$-416]\ * #,##0.00_-;_-[$R$-416]\ * &quot;-&quot;??_-;_-@_-">
                  <c:v>4098.7300000000005</c:v>
                </c:pt>
                <c:pt idx="5" formatCode="_-[$R$-416]\ * #,##0.00_-;\-[$R$-416]\ * #,##0.00_-;_-[$R$-416]\ * &quot;-&quot;??_-;_-@_-">
                  <c:v>4540.51</c:v>
                </c:pt>
              </c:numCache>
            </c:numRef>
          </c:val>
          <c:extLst>
            <c:ext xmlns:c16="http://schemas.microsoft.com/office/drawing/2014/chart" uri="{C3380CC4-5D6E-409C-BE32-E72D297353CC}">
              <c16:uniqueId val="{00000000-E94F-4D0D-BFF8-7C5CEEB7979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Arial" panose="020B0604020202020204" pitchFamily="34" charset="0"/>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solidFill>
            <a:sysClr val="windowText" lastClr="000000"/>
          </a:solidFill>
          <a:latin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mn-cs"/>
            </a:defRPr>
          </a:pPr>
          <a:endParaRPr lang="pt-BR"/>
        </a:p>
      </c:txPr>
    </c:title>
    <c:autoTitleDeleted val="0"/>
    <c:plotArea>
      <c:layout/>
      <c:doughnutChart>
        <c:varyColors val="1"/>
        <c:ser>
          <c:idx val="0"/>
          <c:order val="0"/>
          <c:tx>
            <c:v>Composição das Ações BRL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DD-4C50-A53A-C5DFC77293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DD-4C50-A53A-C5DFC77293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DD-4C50-A53A-C5DFC77293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DD-4C50-A53A-C5DFC77293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DD-4C50-A53A-C5DFC77293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DD-4C50-A53A-C5DFC77293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D53-4C62-B77D-066797A9A48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D53-4C62-B77D-066797A9A48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D53-4C62-B77D-066797A9A48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D53-4C62-B77D-066797A9A483}"/>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Ativos!$C$3:$C$12</c:f>
              <c:strCache>
                <c:ptCount val="10"/>
                <c:pt idx="0">
                  <c:v>NEOE3</c:v>
                </c:pt>
                <c:pt idx="1">
                  <c:v>PNVL3</c:v>
                </c:pt>
                <c:pt idx="2">
                  <c:v>MYPK3</c:v>
                </c:pt>
                <c:pt idx="3">
                  <c:v>MDIA3</c:v>
                </c:pt>
                <c:pt idx="4">
                  <c:v>ITSA4</c:v>
                </c:pt>
                <c:pt idx="5">
                  <c:v>B3SA3</c:v>
                </c:pt>
                <c:pt idx="6">
                  <c:v>EGIE3</c:v>
                </c:pt>
                <c:pt idx="7">
                  <c:v>BBAS3</c:v>
                </c:pt>
                <c:pt idx="8">
                  <c:v>VIVT3</c:v>
                </c:pt>
                <c:pt idx="9">
                  <c:v>JALL3</c:v>
                </c:pt>
              </c:strCache>
            </c:strRef>
          </c:cat>
          <c:val>
            <c:numRef>
              <c:f>Ativos!$G$3:$G$12</c:f>
              <c:numCache>
                <c:formatCode>_("R$"* #,##0.00_);_("R$"* \(#,##0.00\);_("R$"* "-"??_);_(@_)</c:formatCode>
                <c:ptCount val="10"/>
                <c:pt idx="0">
                  <c:v>330.20000000000005</c:v>
                </c:pt>
                <c:pt idx="1">
                  <c:v>334.22</c:v>
                </c:pt>
                <c:pt idx="2">
                  <c:v>336.48</c:v>
                </c:pt>
                <c:pt idx="3">
                  <c:v>297</c:v>
                </c:pt>
                <c:pt idx="4">
                  <c:v>332.8</c:v>
                </c:pt>
                <c:pt idx="5">
                  <c:v>321.60000000000002</c:v>
                </c:pt>
                <c:pt idx="6">
                  <c:v>332.48</c:v>
                </c:pt>
                <c:pt idx="7">
                  <c:v>333.3</c:v>
                </c:pt>
                <c:pt idx="8">
                  <c:v>300.58</c:v>
                </c:pt>
                <c:pt idx="9">
                  <c:v>352.8</c:v>
                </c:pt>
              </c:numCache>
            </c:numRef>
          </c:val>
          <c:extLst>
            <c:ext xmlns:c16="http://schemas.microsoft.com/office/drawing/2014/chart" uri="{C3380CC4-5D6E-409C-BE32-E72D297353CC}">
              <c16:uniqueId val="{0000000C-EBDD-4C50-A53A-C5DFC77293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Arial" panose="020B0604020202020204" pitchFamily="34" charset="0"/>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solidFill>
            <a:sysClr val="windowText" lastClr="000000"/>
          </a:solidFill>
          <a:latin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mn-cs"/>
            </a:defRPr>
          </a:pPr>
          <a:endParaRPr lang="pt-BR"/>
        </a:p>
      </c:txPr>
    </c:title>
    <c:autoTitleDeleted val="0"/>
    <c:plotArea>
      <c:layout/>
      <c:doughnutChart>
        <c:varyColors val="1"/>
        <c:ser>
          <c:idx val="0"/>
          <c:order val="0"/>
          <c:tx>
            <c:v>Composição dos FII's BRL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88-4464-92F8-2274E13859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88-4464-92F8-2274E13859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88-4464-92F8-2274E13859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88-4464-92F8-2274E1385958}"/>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Ativos!$C$19:$C$22</c:f>
              <c:strCache>
                <c:ptCount val="4"/>
                <c:pt idx="0">
                  <c:v>MXRF11</c:v>
                </c:pt>
                <c:pt idx="1">
                  <c:v>MCCI11</c:v>
                </c:pt>
                <c:pt idx="2">
                  <c:v>RBRP11</c:v>
                </c:pt>
                <c:pt idx="3">
                  <c:v>BTLG11</c:v>
                </c:pt>
              </c:strCache>
            </c:strRef>
          </c:cat>
          <c:val>
            <c:numRef>
              <c:f>Ativos!$G$19:$G$22</c:f>
              <c:numCache>
                <c:formatCode>_("R$"* #,##0.00_);_("R$"* \(#,##0.00\);_("R$"* "-"??_);_(@_)</c:formatCode>
                <c:ptCount val="4"/>
                <c:pt idx="0">
                  <c:v>847.2</c:v>
                </c:pt>
                <c:pt idx="1">
                  <c:v>823.2</c:v>
                </c:pt>
                <c:pt idx="2">
                  <c:v>783</c:v>
                </c:pt>
                <c:pt idx="3">
                  <c:v>799.89</c:v>
                </c:pt>
              </c:numCache>
            </c:numRef>
          </c:val>
          <c:extLst>
            <c:ext xmlns:c16="http://schemas.microsoft.com/office/drawing/2014/chart" uri="{C3380CC4-5D6E-409C-BE32-E72D297353CC}">
              <c16:uniqueId val="{00000014-6B88-4464-92F8-2274E13859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Arial" panose="020B0604020202020204" pitchFamily="34" charset="0"/>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solidFill>
            <a:sysClr val="windowText" lastClr="000000"/>
          </a:solidFill>
          <a:latin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mn-cs"/>
            </a:defRPr>
          </a:pPr>
          <a:endParaRPr lang="pt-BR"/>
        </a:p>
      </c:txPr>
    </c:title>
    <c:autoTitleDeleted val="0"/>
    <c:plotArea>
      <c:layout/>
      <c:doughnutChart>
        <c:varyColors val="1"/>
        <c:ser>
          <c:idx val="0"/>
          <c:order val="0"/>
          <c:tx>
            <c:v>Composição das Ações USD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2E-44BF-82AE-66D1AAFB3F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2E-44BF-82AE-66D1AAFB3F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2E-44BF-82AE-66D1AAFB3F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2E-44BF-82AE-66D1AAFB3F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2E-44BF-82AE-66D1AAFB3F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2E-44BF-82AE-66D1AAFB3F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2E-44BF-82AE-66D1AAFB3FE5}"/>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Ativos!$C$28:$C$34</c:f>
              <c:strCache>
                <c:ptCount val="7"/>
                <c:pt idx="0">
                  <c:v>AMZN</c:v>
                </c:pt>
                <c:pt idx="1">
                  <c:v>BRK.B</c:v>
                </c:pt>
                <c:pt idx="2">
                  <c:v>KO</c:v>
                </c:pt>
                <c:pt idx="3">
                  <c:v>AAPL</c:v>
                </c:pt>
                <c:pt idx="4">
                  <c:v>WFC</c:v>
                </c:pt>
                <c:pt idx="5">
                  <c:v>MSFT</c:v>
                </c:pt>
                <c:pt idx="6">
                  <c:v>GOOGL</c:v>
                </c:pt>
              </c:strCache>
            </c:strRef>
          </c:cat>
          <c:val>
            <c:numRef>
              <c:f>Ativos!$G$28:$G$34</c:f>
              <c:numCache>
                <c:formatCode>_-[$$-409]* #,##0.00_ ;_-[$$-409]* \-#,##0.00\ ;_-[$$-409]* "-"??_ ;_-@_ </c:formatCode>
                <c:ptCount val="7"/>
                <c:pt idx="0">
                  <c:v>93.379499999999993</c:v>
                </c:pt>
                <c:pt idx="1">
                  <c:v>92.311689999999999</c:v>
                </c:pt>
                <c:pt idx="2">
                  <c:v>90.133020999999999</c:v>
                </c:pt>
                <c:pt idx="3">
                  <c:v>90.433660000000017</c:v>
                </c:pt>
                <c:pt idx="4">
                  <c:v>93.207408000000001</c:v>
                </c:pt>
                <c:pt idx="5">
                  <c:v>49.155535999999998</c:v>
                </c:pt>
                <c:pt idx="6">
                  <c:v>62.514559999999996</c:v>
                </c:pt>
              </c:numCache>
            </c:numRef>
          </c:val>
          <c:extLst>
            <c:ext xmlns:c16="http://schemas.microsoft.com/office/drawing/2014/chart" uri="{C3380CC4-5D6E-409C-BE32-E72D297353CC}">
              <c16:uniqueId val="{00000014-DB2E-44BF-82AE-66D1AAFB3F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Arial" panose="020B0604020202020204" pitchFamily="34" charset="0"/>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solidFill>
            <a:sysClr val="windowText" lastClr="000000"/>
          </a:solidFill>
          <a:latin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mn-cs"/>
            </a:defRPr>
          </a:pPr>
          <a:endParaRPr lang="pt-BR"/>
        </a:p>
      </c:txPr>
    </c:title>
    <c:autoTitleDeleted val="0"/>
    <c:plotArea>
      <c:layout/>
      <c:doughnutChart>
        <c:varyColors val="1"/>
        <c:ser>
          <c:idx val="0"/>
          <c:order val="0"/>
          <c:tx>
            <c:v>Composição das Criptos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79-451B-8330-5D17AEEB9A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79-451B-8330-5D17AEEB9A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79-451B-8330-5D17AEEB9A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79-451B-8330-5D17AEEB9A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79-451B-8330-5D17AEEB9A5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79-451B-8330-5D17AEEB9A50}"/>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Ativos!$C$41:$C$46</c:f>
              <c:strCache>
                <c:ptCount val="6"/>
                <c:pt idx="0">
                  <c:v>BTC</c:v>
                </c:pt>
                <c:pt idx="1">
                  <c:v>XRP</c:v>
                </c:pt>
                <c:pt idx="2">
                  <c:v>ADA</c:v>
                </c:pt>
                <c:pt idx="3">
                  <c:v>ETC</c:v>
                </c:pt>
                <c:pt idx="4">
                  <c:v>XMR</c:v>
                </c:pt>
                <c:pt idx="5">
                  <c:v>BUSD</c:v>
                </c:pt>
              </c:strCache>
            </c:strRef>
          </c:cat>
          <c:val>
            <c:numRef>
              <c:f>Ativos!$G$41:$G$46</c:f>
              <c:numCache>
                <c:formatCode>_-[$$-409]* #,##0.00_ ;_-[$$-409]* \-#,##0.00\ ;_-[$$-409]* "-"??_ ;_-@_ </c:formatCode>
                <c:ptCount val="6"/>
                <c:pt idx="0">
                  <c:v>36.435001999999997</c:v>
                </c:pt>
                <c:pt idx="1">
                  <c:v>47.458202694000001</c:v>
                </c:pt>
                <c:pt idx="2">
                  <c:v>33.500051664137608</c:v>
                </c:pt>
                <c:pt idx="3">
                  <c:v>27.764059388622002</c:v>
                </c:pt>
                <c:pt idx="4">
                  <c:v>20.778185699280002</c:v>
                </c:pt>
                <c:pt idx="5">
                  <c:v>16.569024445</c:v>
                </c:pt>
              </c:numCache>
            </c:numRef>
          </c:val>
          <c:extLst>
            <c:ext xmlns:c16="http://schemas.microsoft.com/office/drawing/2014/chart" uri="{C3380CC4-5D6E-409C-BE32-E72D297353CC}">
              <c16:uniqueId val="{0000000E-6F79-451B-8330-5D17AEEB9A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Arial" panose="020B0604020202020204" pitchFamily="34" charset="0"/>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solidFill>
            <a:sysClr val="windowText" lastClr="000000"/>
          </a:solidFill>
          <a:latin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mn-cs"/>
            </a:defRPr>
          </a:pPr>
          <a:endParaRPr lang="pt-BR"/>
        </a:p>
      </c:txPr>
    </c:title>
    <c:autoTitleDeleted val="0"/>
    <c:plotArea>
      <c:layout/>
      <c:doughnutChart>
        <c:varyColors val="1"/>
        <c:ser>
          <c:idx val="0"/>
          <c:order val="0"/>
          <c:tx>
            <c:v>Composição da C. Projeta</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D-4556-8220-830E469421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D-4556-8220-830E469421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1D-4556-8220-830E469421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1D-4556-8220-830E469421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1D-4556-8220-830E469421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1D-4556-8220-830E469421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6B-4394-869F-FF80A16F53E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6B-4394-869F-FF80A16F53E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6B-4394-869F-FF80A16F53EA}"/>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Ativos!$C$52:$C$60</c:f>
              <c:strCache>
                <c:ptCount val="9"/>
                <c:pt idx="0">
                  <c:v>ITSA4</c:v>
                </c:pt>
                <c:pt idx="1">
                  <c:v>JALL3</c:v>
                </c:pt>
                <c:pt idx="2">
                  <c:v>LCAM3</c:v>
                </c:pt>
                <c:pt idx="3">
                  <c:v>MDIA3</c:v>
                </c:pt>
                <c:pt idx="4">
                  <c:v>MXRF11</c:v>
                </c:pt>
                <c:pt idx="5">
                  <c:v>NEOE3</c:v>
                </c:pt>
                <c:pt idx="6">
                  <c:v>PETR4</c:v>
                </c:pt>
                <c:pt idx="7">
                  <c:v>RBRD11</c:v>
                </c:pt>
                <c:pt idx="8">
                  <c:v>WEGE3</c:v>
                </c:pt>
              </c:strCache>
            </c:strRef>
          </c:cat>
          <c:val>
            <c:numRef>
              <c:f>Ativos!$G$52:$G$60</c:f>
              <c:numCache>
                <c:formatCode>_("R$"* #,##0.00_);_("R$"* \(#,##0.00\);_("R$"* "-"??_);_(@_)</c:formatCode>
                <c:ptCount val="9"/>
                <c:pt idx="0">
                  <c:v>93.600000000000009</c:v>
                </c:pt>
                <c:pt idx="1">
                  <c:v>176.4</c:v>
                </c:pt>
                <c:pt idx="2">
                  <c:v>258</c:v>
                </c:pt>
                <c:pt idx="3">
                  <c:v>459</c:v>
                </c:pt>
                <c:pt idx="4">
                  <c:v>4447.8</c:v>
                </c:pt>
                <c:pt idx="5">
                  <c:v>330.20000000000005</c:v>
                </c:pt>
                <c:pt idx="6">
                  <c:v>215.46</c:v>
                </c:pt>
                <c:pt idx="7">
                  <c:v>744</c:v>
                </c:pt>
                <c:pt idx="8">
                  <c:v>730</c:v>
                </c:pt>
              </c:numCache>
            </c:numRef>
          </c:val>
          <c:extLst>
            <c:ext xmlns:c16="http://schemas.microsoft.com/office/drawing/2014/chart" uri="{C3380CC4-5D6E-409C-BE32-E72D297353CC}">
              <c16:uniqueId val="{0000000E-6F79-451B-8330-5D17AEEB9A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Arial" panose="020B0604020202020204" pitchFamily="34" charset="0"/>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solidFill>
            <a:sysClr val="windowText" lastClr="000000"/>
          </a:solidFill>
          <a:latin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828675</xdr:colOff>
      <xdr:row>6</xdr:row>
      <xdr:rowOff>114299</xdr:rowOff>
    </xdr:from>
    <xdr:to>
      <xdr:col>14</xdr:col>
      <xdr:colOff>552450</xdr:colOff>
      <xdr:row>21</xdr:row>
      <xdr:rowOff>76199</xdr:rowOff>
    </xdr:to>
    <xdr:graphicFrame macro="">
      <xdr:nvGraphicFramePr>
        <xdr:cNvPr id="2" name="Gráfico 1">
          <a:extLst>
            <a:ext uri="{FF2B5EF4-FFF2-40B4-BE49-F238E27FC236}">
              <a16:creationId xmlns:a16="http://schemas.microsoft.com/office/drawing/2014/main" id="{ECB2624E-C8FF-4D47-8A6A-DFAC03E73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7</xdr:row>
      <xdr:rowOff>0</xdr:rowOff>
    </xdr:from>
    <xdr:to>
      <xdr:col>18</xdr:col>
      <xdr:colOff>495300</xdr:colOff>
      <xdr:row>21</xdr:row>
      <xdr:rowOff>152400</xdr:rowOff>
    </xdr:to>
    <xdr:graphicFrame macro="">
      <xdr:nvGraphicFramePr>
        <xdr:cNvPr id="3" name="Gráfico 2">
          <a:extLst>
            <a:ext uri="{FF2B5EF4-FFF2-40B4-BE49-F238E27FC236}">
              <a16:creationId xmlns:a16="http://schemas.microsoft.com/office/drawing/2014/main" id="{3FF74F45-0D44-4083-A056-4492EEBFC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22</xdr:row>
      <xdr:rowOff>0</xdr:rowOff>
    </xdr:from>
    <xdr:to>
      <xdr:col>14</xdr:col>
      <xdr:colOff>561975</xdr:colOff>
      <xdr:row>36</xdr:row>
      <xdr:rowOff>142875</xdr:rowOff>
    </xdr:to>
    <xdr:graphicFrame macro="">
      <xdr:nvGraphicFramePr>
        <xdr:cNvPr id="4" name="Gráfico 3">
          <a:extLst>
            <a:ext uri="{FF2B5EF4-FFF2-40B4-BE49-F238E27FC236}">
              <a16:creationId xmlns:a16="http://schemas.microsoft.com/office/drawing/2014/main" id="{4FD5A364-7C44-4872-B254-C7648F6D4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22</xdr:row>
      <xdr:rowOff>0</xdr:rowOff>
    </xdr:from>
    <xdr:to>
      <xdr:col>18</xdr:col>
      <xdr:colOff>495300</xdr:colOff>
      <xdr:row>36</xdr:row>
      <xdr:rowOff>142875</xdr:rowOff>
    </xdr:to>
    <xdr:graphicFrame macro="">
      <xdr:nvGraphicFramePr>
        <xdr:cNvPr id="5" name="Gráfico 4">
          <a:extLst>
            <a:ext uri="{FF2B5EF4-FFF2-40B4-BE49-F238E27FC236}">
              <a16:creationId xmlns:a16="http://schemas.microsoft.com/office/drawing/2014/main" id="{5BB2FCE9-5317-4212-B96E-C934A1381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0</xdr:rowOff>
    </xdr:from>
    <xdr:to>
      <xdr:col>14</xdr:col>
      <xdr:colOff>561975</xdr:colOff>
      <xdr:row>51</xdr:row>
      <xdr:rowOff>142875</xdr:rowOff>
    </xdr:to>
    <xdr:graphicFrame macro="">
      <xdr:nvGraphicFramePr>
        <xdr:cNvPr id="6" name="Gráfico 5">
          <a:extLst>
            <a:ext uri="{FF2B5EF4-FFF2-40B4-BE49-F238E27FC236}">
              <a16:creationId xmlns:a16="http://schemas.microsoft.com/office/drawing/2014/main" id="{A3CB592F-C433-4B01-87DE-594CBBF49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37</xdr:row>
      <xdr:rowOff>0</xdr:rowOff>
    </xdr:from>
    <xdr:to>
      <xdr:col>18</xdr:col>
      <xdr:colOff>495300</xdr:colOff>
      <xdr:row>51</xdr:row>
      <xdr:rowOff>142875</xdr:rowOff>
    </xdr:to>
    <xdr:graphicFrame macro="">
      <xdr:nvGraphicFramePr>
        <xdr:cNvPr id="7" name="Gráfico 6">
          <a:extLst>
            <a:ext uri="{FF2B5EF4-FFF2-40B4-BE49-F238E27FC236}">
              <a16:creationId xmlns:a16="http://schemas.microsoft.com/office/drawing/2014/main" id="{4BD1F61A-E35D-43BA-861D-AE493DB82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0000000-0016-0000-0100-000000000000}" autoFormatId="16" applyNumberFormats="0" applyBorderFormats="0" applyFontFormats="0" applyPatternFormats="0" applyAlignmentFormats="0" applyWidthHeightFormats="0">
  <queryTableRefresh nextId="8">
    <queryTableFields count="7">
      <queryTableField id="1" name="Símbolo" tableColumnId="1"/>
      <queryTableField id="2" name="Nome" tableColumnId="2"/>
      <queryTableField id="3" name="Último Preço" tableColumnId="3"/>
      <queryTableField id="4" name="Alterar" tableColumnId="4"/>
      <queryTableField id="5" name="% Alteração" tableColumnId="5"/>
      <queryTableField id="6" name="Variação de 52 semanas" tableColumnId="6"/>
      <queryTableField id="7" name="Gráfico Diário"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00000000-0016-0000-0200-000001000000}" autoFormatId="16" applyNumberFormats="0" applyBorderFormats="0" applyFontFormats="0" applyPatternFormats="0" applyAlignmentFormats="0" applyWidthHeightFormats="0">
  <queryTableRefresh nextId="11">
    <queryTableFields count="10">
      <queryTableField id="1" name="#" tableColumnId="1"/>
      <queryTableField id="2" name="Column1" tableColumnId="2"/>
      <queryTableField id="3" name="Nome" tableColumnId="3"/>
      <queryTableField id="4" name="Código" tableColumnId="4"/>
      <queryTableField id="5" name="Preço (USD)" tableColumnId="5"/>
      <queryTableField id="6" name="Capitalização" tableColumnId="6"/>
      <queryTableField id="7" name="Vol. (24h)" tableColumnId="7"/>
      <queryTableField id="8" name="Vol. Total" tableColumnId="8"/>
      <queryTableField id="9" name="Var (24h)" tableColumnId="9"/>
      <queryTableField id="10" name="Var (7d)" tableColumnId="10"/>
    </queryTableFields>
  </queryTableRefresh>
</queryTable>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8">
  <rv s="0">
    <v>https://www.bing.com/financeapi/forcetrigger?t=bqyxtc&amp;q=BVMF%3aNEOE3&amp;form=skydnc</v>
    <v>Learn more on Bing</v>
  </rv>
  <rv s="1">
    <v>0</v>
    <v>1</v>
    <v>NEOENERGIA S.A. (BVMF:NEOE3)</v>
    <v>3</v>
    <v>4</v>
    <v>Finance</v>
    <v>5</v>
    <v>pt-BR</v>
    <v>bqyxtc</v>
    <v>268435456</v>
    <v>1</v>
    <v>Da plataforma Refinitiv</v>
    <v>22.18</v>
    <v>14.41</v>
    <v>BVMF</v>
    <v>1213797000</v>
    <v>16.63</v>
    <v>1996</v>
    <v>16.3</v>
    <v>B3 - Brazil Stock Exchange</v>
    <v>20039788470</v>
    <v>A NEOENERGIA S.A. é uma holding brasileira, principalmente envolvida no setor de serviços elétricos. A Companhia está envolvida na distribuição, transmissão, geração e comercialização de energia elétrica. As subsidiárias da Companhia incluem a Companhia de Eletricidade do Estado da Bahia Coelba (COELBA), que atua na distribuição de energia elétrica no Estado brasileiro da Bahia; Companhia Energetica de Pernambuco CELPE, envolvida na distribuição de eletricidade no Estado de Pernambuco; Companhia Energética do Rio Grande do Norte COSERN, que distribui energia elétrica no Estado do Rio Grande do Norte; Afluente Geração de Energia Eletrica SA, ativa na geração de energia através de usinas hidrelétricas; Termopernambuco SA, envolvida na geração de energia por meio de uma usina termelétrica; e Elektro Holding SA, que se concentra na distribuição de energia elétrica nos Estados de São Paulo e Mato Grosso do Sul, entre outros.</v>
    <v>BVMF</v>
    <v>16.41</v>
    <v>11746</v>
    <v>44314.947916666664</v>
    <v>0</v>
    <v>BRL</v>
    <v>NEOENERGIA S.A.</v>
    <v>NEOENERGIA S.A.</v>
    <v>16.600000000000001</v>
    <v>16.510000000000002</v>
    <v>Praia do Flamengo, 78,3 andar, Flamengo, RIO DE JANEIRO, RIO DE JANEIRO, 22.210-030 BR</v>
    <v>Electrical Utilities &amp; IPPs</v>
    <v>NEOE3</v>
    <v>Ações</v>
    <v>NEOENERGIA S.A. (BVMF:NEOE3)</v>
    <v>0.1</v>
    <v>6.0940000000000005E-3</v>
    <v>2113700</v>
  </rv>
  <rv s="2">
    <v>1</v>
  </rv>
  <rv s="0">
    <v>https://www.bing.com/financeapi/forcetrigger?t=apn54c&amp;q=BVMF%3aPNVL3&amp;form=skydnc</v>
    <v>Learn more on Bing</v>
  </rv>
  <rv s="3">
    <v>6</v>
    <v>7</v>
    <v>DIMED S.A. DISTRIBUIDORA DE MEDICAMENTOS (BVMF:PNVL3)</v>
    <v>3</v>
    <v>8</v>
    <v>Finance</v>
    <v>5</v>
    <v>pt-BR</v>
    <v>apn54c</v>
    <v>268435456</v>
    <v>1</v>
    <v>Da plataforma Refinitiv</v>
    <v>34.24</v>
    <v>17.36</v>
    <v>BVMF</v>
    <v>151480400</v>
    <v>19.8</v>
    <v>1920</v>
    <v>19.3</v>
    <v>0.32250000000000001</v>
    <v>B3 - Brazil Stock Exchange</v>
    <v>2977129000</v>
    <v>A DIMED S.A. DISTRIBUIDORA DE MEDICAMENTOS, anteriormente Panvel S.A. Drogarias e Farmácias, é uma empresa brasileira que se dedica essencialmente à venda de medicamentos. A Empresa, juntamente com suas subsidiárias, vende, distribui, importa, exporta e produz uma variedade de produtos, incluindo medicamentos, perfumes, cosméticos, dermocosméticos, produtos de cuidados pessoais, suplementos dietéticos e acessórios de fisioterapia, ortopédicos e de fitness. A Empresa organiza seus negócios em dois segmentos principais: Medicamentos e Perfumaria. A Empresa fornece distribuição no varejo e atacado. Em 31 de dezembro de 2011, a Empresa possuía centros de distribuição nos estados brasileiros do Rio Grande do Sul, Santa Catarina, Paraná, Goiás e Espírito Santo, além de 284 lojas nos estados do Rio Grande do Sul, Santa Catarina e Paraná.</v>
    <v>BVMF</v>
    <v>19.649999999999999</v>
    <v>7493</v>
    <v>44314.947916666664</v>
    <v>3</v>
    <v>BRL</v>
    <v>DIMED S.A. DISTRIBUIDORA DE MEDICAMENTOS</v>
    <v>DIMED S.A. DISTRIBUIDORA DE MEDICAMENTOS</v>
    <v>19.73</v>
    <v>19.66</v>
    <v>Avenida Industrial Belgraff, 865,Predio 100, Industrial, ELDORADO DO SUL, RIO GRANDE DO SUL, 92.990-000 BR</v>
    <v>Food &amp; Drug Retailing</v>
    <v>PNVL3</v>
    <v>Ações</v>
    <v>DIMED S.A. DISTRIBUIDORA DE MEDICAMENTOS (BVMF:PNVL3)</v>
    <v>0.01</v>
    <v>5.0889999999999996E-4</v>
    <v>620900</v>
  </rv>
  <rv s="2">
    <v>4</v>
  </rv>
  <rv s="0">
    <v>https://www.bing.com/financeapi/forcetrigger?t=apn177&amp;q=BVMF%3aMYPK3&amp;form=skydnc</v>
    <v>Learn more on Bing</v>
  </rv>
  <rv s="3">
    <v>6</v>
    <v>7</v>
    <v>Iochpe-Maxion S.A. (BVMF:MYPK3)</v>
    <v>3</v>
    <v>8</v>
    <v>Finance</v>
    <v>5</v>
    <v>pt-BR</v>
    <v>apn177</v>
    <v>268435456</v>
    <v>1</v>
    <v>Da plataforma Refinitiv</v>
    <v>16.5</v>
    <v>11.16</v>
    <v>BVMF</v>
    <v>153719600</v>
    <v>14.29</v>
    <v>1969</v>
    <v>13.96</v>
    <v>0.99280000000000002</v>
    <v>B3 - Brazil Stock Exchange</v>
    <v>2155148792</v>
    <v>A Iochpe-Maxion S.A. está envolvida na produção de rodas automotivas. A Empresa é produtora de componentes estruturais automotivos nas Américas e produtora de equipamentos ferroviários no Brasil. Suas operações estão focadas no segmento automotivo, divididas em segmentos de rodas e componentes estruturais. A Empresa opera por meio de três divisões: Maxion Wheels, Componentes Estruturais Maxion e AmstedMaxion. Na Maxion Wheels, a Empresa produz e vende uma gama de rodas de aço para veículos leves e comerciais, e máquinas agrícolas e rodas de alumínio para veículos leves. No segmento de Componentes Estruturais Maxion, ela produz trilhos laterais, cruzamentos e chassis completos para veículos comerciais e componentes estruturais para veículos leves. No segmento de AmstedMaxion (uma joint venture), a Empresa produz veículos de carga, rodas ferroviárias e fundições, bem como fundições industriais. As operações da Empresa e de suas subsidiárias são realizadas em mais de 30 unidades localizadas no Brasil e no exterior.</v>
    <v>BVMF</v>
    <v>14.13</v>
    <v>15000</v>
    <v>44314.947916666664</v>
    <v>6</v>
    <v>BRL</v>
    <v>Iochpe-Maxion S.A.</v>
    <v>Iochpe-Maxion S.A.</v>
    <v>14.25</v>
    <v>14.02</v>
    <v>Rua Othon Barcellos, n 83, Itagacaba, CRUZEIRO, SAO PAULO, 12.730-900 BR</v>
    <v>Automobiles &amp; Auto Parts</v>
    <v>MYPK3</v>
    <v>Ações</v>
    <v>Iochpe-Maxion S.A. (BVMF:MYPK3)</v>
    <v>-0.11</v>
    <v>-7.7849999999999994E-3</v>
    <v>926300</v>
  </rv>
  <rv s="2">
    <v>7</v>
  </rv>
  <rv s="0">
    <v>https://www.bing.com/financeapi/forcetrigger?t=apmwu2&amp;q=BVMF%3aMDIA3&amp;form=skydnc</v>
    <v>Learn more on Bing</v>
  </rv>
  <rv s="3">
    <v>6</v>
    <v>7</v>
    <v>M. Dias Branco S.A. Indústria e Comércio de Alimentos (BVMF:MDIA3)</v>
    <v>3</v>
    <v>8</v>
    <v>Finance</v>
    <v>5</v>
    <v>pt-BR</v>
    <v>apmwu2</v>
    <v>268435456</v>
    <v>1</v>
    <v>Da plataforma Refinitiv</v>
    <v>41.19</v>
    <v>26.81</v>
    <v>BVMF</v>
    <v>339000000</v>
    <v>28</v>
    <v>1951</v>
    <v>26.81</v>
    <v>0.71050000000000002</v>
    <v>B3 - Brazil Stock Exchange</v>
    <v>9153000000</v>
    <v>A M. Dias Branco S.A. Indústria e Comércio de Alimentos é uma empresa estabelecida no Brasil, que atua principalmente na indústria de processamento de alimentos. A empresa concentra-se na industrialização, venda e distribuição de produtos alimentícios derivados do trigo, principalmente biscoitos, massas e farinha de trigo. Suas atividades também abrangem a fabricação, venda e distribuição de gorduras vegetais e margarinas, bolos, misturas para bolo e torradas e lanches embalados. A empresa opera por meio de processo de produção integrado e vertical, produzindo farinha e gorduras vegetais utilizados na fabricação de biscoitos e massas. O portfólio de marcas da empresa abrange Adria, Basilar, Bonsabor, Fortaleza, Isabela, Pilar, Predilleto, Richester, Salsito, Treloso, Vitarella e Zabet, dentre outros. A empresa é proprietária de várias unidades de produção e centros de distribuição no Brasil. É uma subsidiária da Dibra Fundo de Investimento em Participações.</v>
    <v>BVMF</v>
    <v>27.83</v>
    <v>17100</v>
    <v>44314.947916666664</v>
    <v>9</v>
    <v>BRL</v>
    <v>M. Dias Branco S.A. Indústria e Comércio de Alimentos</v>
    <v>M. Dias Branco S.A. Indústria e Comércio de Alimentos</v>
    <v>28</v>
    <v>27</v>
    <v>Rod Br 116 Km 18, Jabuti, EUSEBIO, CEARA, 61.760-000 BR</v>
    <v>Food &amp; Tobacco</v>
    <v>MDIA3</v>
    <v>Ações</v>
    <v>M. Dias Branco S.A. Indústria e Comércio de Alimentos (BVMF:MDIA3)</v>
    <v>-0.83</v>
    <v>-2.9824000000000003E-2</v>
    <v>2645100</v>
  </rv>
  <rv s="2">
    <v>10</v>
  </rv>
  <rv s="0">
    <v>https://www.bing.com/financeapi/forcetrigger?t=apms77&amp;q=BVMF%3aITSA4&amp;form=skydnc</v>
    <v>Learn more on Bing</v>
  </rv>
  <rv s="3">
    <v>6</v>
    <v>7</v>
    <v>ITAUSA S.A. (BVMF:ITSA4)</v>
    <v>3</v>
    <v>8</v>
    <v>Finance</v>
    <v>5</v>
    <v>pt-BR</v>
    <v>apms77</v>
    <v>268435456</v>
    <v>1</v>
    <v>Da plataforma Refinitiv</v>
    <v>12.23</v>
    <v>7.65</v>
    <v>BVMF</v>
    <v>8410814000</v>
    <v>10.4</v>
    <v>1966</v>
    <v>10.15</v>
    <v>1.0949</v>
    <v>B3 - Brazil Stock Exchange</v>
    <v>87302940000</v>
    <v>Itausa Investimentos Itau SA é uma empresa sediada no Brasil e tem como atividade principal o setor bancário. As atividades da Companhia estão divididas em dois segmentos de negócios: Financeiro e Industrial. A divisão Financeiral concentra-se na gestão do Itau Unibanco Holding SA, uma instituição bancária que oferece produtos e serviços financeiros, como empréstimos, cartões de crédito, contas correntes, apólices de seguros, ferramentas de investimento, corretagem de valores mobiliários, consultoria de tesouraria e investimentos para clientes individuais e empresas. A divisão Industrial é responsável pela operação da Itautec SA, que fabrica equipamentos de automação comercial e bancária, além de prestar serviços de tecnologia da informação (TI); Duratex SA, que produz painéis de madeira, louças sanitárias e metais sanitários, e Alpargatas, que produz calçados sob as marcas Juntas, Havaianas e Dupe, entre outros.</v>
    <v>BVMF</v>
    <v>10.029999999999999</v>
    <v>126000</v>
    <v>44314.947916666664</v>
    <v>12</v>
    <v>BRL</v>
    <v>ITAUSA S.A.</v>
    <v>ITAUSA S.A.</v>
    <v>10.16</v>
    <v>10.4</v>
    <v>Avenida Paulista, 1938, 5 andar, Bela Vista, SAO PAULO, SAO PAULO, 01.310-200 BR</v>
    <v>Banking Services</v>
    <v>ITSA4</v>
    <v>Ações</v>
    <v>ITAUSA S.A. (BVMF:ITSA4)</v>
    <v>0.37</v>
    <v>3.6888999999999998E-2</v>
    <v>54148500</v>
  </rv>
  <rv s="2">
    <v>13</v>
  </rv>
  <rv s="0">
    <v>https://www.bing.com/financeapi/forcetrigger?t=azh5a2&amp;q=BVMF%3aB3SA3&amp;form=skydnc</v>
    <v>Learn more on Bing</v>
  </rv>
  <rv s="3">
    <v>6</v>
    <v>7</v>
    <v>B3 S.A. - Brasil, Bolsa, Balcão (BVMF:B3SA3)</v>
    <v>3</v>
    <v>8</v>
    <v>Finance</v>
    <v>5</v>
    <v>pt-BR</v>
    <v>azh5a2</v>
    <v>268435456</v>
    <v>1</v>
    <v>Da plataforma Refinitiv</v>
    <v>66.81</v>
    <v>33.79</v>
    <v>BVMF</v>
    <v>2042000000</v>
    <v>53.73</v>
    <v>2007</v>
    <v>52.77</v>
    <v>0.96240000000000003</v>
    <v>B3 - Brazil Stock Exchange</v>
    <v>109451200000</v>
    <v>B3 SA Brasil Bolsa Balcão, anteriormente BM &amp; F Bovespa SA Bolsa de Valores Mercadorias e Futuros, é uma fornecedora de infra-estruturaa de mercado financeiro no Brasil. As ofertas de serviços da Companhia varia entre negociação cambial, compensação e outros serviços pós-negociação e registro de transações de balcão (OTC). A Companhia também fornece um serviço de listagem e atua como depósito central de valores mobiliários (CSD). Desenvolve soluções de software e oferece serviços de licenciamento de índice. Seu negócio está dividido em quatro segmentos: Bovespa, que abrange a negociação, compensação e liquidação de ações e derivativos patrimoniais; BM &amp; F, que abrange a negociação, compensação e liquidação de derivativos financeiros e de mercadorias (commodities); Cetip Securities (Cetip UTVM), cobrindo os sistemas de registro, compensação, liquidação e custódia de títulos de renda fixa e derivados OTC e Cetip Financing (Cetip UFIN), que fornece um sistema eletrônico privado integrado para registro de empréstimos de veículos e imóveis.</v>
    <v>BVMF</v>
    <v>52.95</v>
    <v>2135</v>
    <v>44314.947916666664</v>
    <v>15</v>
    <v>BRL</v>
    <v>B3 S.A. - Brasil, Bolsa, Balcão</v>
    <v>B3 S.A. - Brasil, Bolsa, Balcão</v>
    <v>53.08</v>
    <v>53.6</v>
    <v>Praca Antonio Prado, 48 7 andar, Centro, SAO PAULO, SAO PAULO, 01.010-901 BR</v>
    <v>Investment Banking &amp; Investment Services</v>
    <v>B3SA3</v>
    <v>Ações</v>
    <v>B3 S.A. - Brasil, Bolsa, Balcão (BVMF:B3SA3)</v>
    <v>0.65</v>
    <v>1.2276E-2</v>
    <v>10158300</v>
  </rv>
  <rv s="2">
    <v>16</v>
  </rv>
  <rv s="0">
    <v>https://www.bing.com/financeapi/forcetrigger?t=apmgoc&amp;q=BVMF%3aEGIE3&amp;form=skydnc</v>
    <v>Learn more on Bing</v>
  </rv>
  <rv s="3">
    <v>6</v>
    <v>7</v>
    <v>ENGIE BRASIL ENERGIA S.A. (BVMF:EGIE3)</v>
    <v>3</v>
    <v>8</v>
    <v>Finance</v>
    <v>5</v>
    <v>pt-BR</v>
    <v>apmgoc</v>
    <v>268435456</v>
    <v>1</v>
    <v>Da plataforma Refinitiv</v>
    <v>46.6</v>
    <v>34.229999999999997</v>
    <v>BVMF</v>
    <v>815927700</v>
    <v>41.83</v>
    <v>1998</v>
    <v>41.16</v>
    <v>0.65610000000000002</v>
    <v>B3 - Brazil Stock Exchange</v>
    <v>33909955212</v>
    <v>A ENGIE BRASIL ENERGIA S.A., anteriormente Tractebel Energia S.A., é uma concessionária de serviços públicos independentes. A Companhia está envolvida no negócio de geração e comercialização de energia elétrica. A Companhia desenvolve e opera usinas de energia. A Companhia instala e opera instalações a partir de fontes de energia convencionais, como unidades hidroelétricas, termoelétricas e complementares, pequenas usinas hidroelétricas e usinas de energia eólica, biomassa e fotovoltaica. A sua capacidade instalada, incluindo suas participações em consórcios de geração de energia, é de aproximadamente 7.000 megawatts. As instalações de geração em operação consistem em 29 usinas, das quais nove usinas hidroelétricas, sete usinas termoelétricas (três de carvão, três de biomassa e uma usina de gás natural), três pequenas usinas hidroelétricas (SHPP), nove parques eólicos e uma usina fotovoltaica de energia solar. A Companhia é controlada pela ENGIE Brasil Participações Ltda.</v>
    <v>BVMF</v>
    <v>41.24</v>
    <v>1538</v>
    <v>44314.947916666664</v>
    <v>18</v>
    <v>BRL</v>
    <v>ENGIE BRASIL ENERGIA S.A.</v>
    <v>ENGIE BRASIL ENERGIA S.A.</v>
    <v>41.37</v>
    <v>41.56</v>
    <v>Rua Paschoal Apostolo Pitsica, 5064, Agronomica, FLORIANOPOLIS, SANTA CATARINA, 88.025-255 BR</v>
    <v>Electrical Utilities &amp; IPPs</v>
    <v>EGIE3</v>
    <v>Ações</v>
    <v>ENGIE BRASIL ENERGIA S.A. (BVMF:EGIE3)</v>
    <v>0.32</v>
    <v>7.7590000000000003E-3</v>
    <v>1262500</v>
  </rv>
  <rv s="2">
    <v>19</v>
  </rv>
  <rv s="0">
    <v>https://www.bing.com/financeapi/forcetrigger?t=aplygh&amp;q=BVMF%3aBBAS3&amp;form=skydnc</v>
    <v>Learn more on Bing</v>
  </rv>
  <rv s="3">
    <v>6</v>
    <v>7</v>
    <v>BANCO DO BRASIL S.A. (BVMF:BBAS3)</v>
    <v>3</v>
    <v>8</v>
    <v>Finance</v>
    <v>5</v>
    <v>pt-BR</v>
    <v>aplygh</v>
    <v>268435456</v>
    <v>1</v>
    <v>Da plataforma Refinitiv</v>
    <v>39.75</v>
    <v>23.65</v>
    <v>BVMF</v>
    <v>2865417000</v>
    <v>30.37</v>
    <v>1808</v>
    <v>29.85</v>
    <v>1.4923</v>
    <v>B3 - Brazil Stock Exchange</v>
    <v>86822135100</v>
    <v>O BANCO DO BRASIL S.A. é uma empresa brasileira dedicada sobretudo ao setor financeiro. As atividades da Empresa estão divididas em cinco segmentos: bancário, investimentos, gestão de ativos, segurança e tipos de pagamento. O Banco também participa de outras atividades econômicas, como leasing e suporte operacional. O Banco tem clientes individuais e corporativos. Oferece uma variedade de produtos e serviços financeiros, como depósitos, contas poupança, gestão de ativos, empréstimos, e seguros de saúde, de vida e patrimonial. Além disso, oferece transações financeiras em várias formas, incluindo operações cambiais e atividades complementares, com ênfase na previdência privada, capitalização, valores mobiliários, corretagem, administração de cartões de crédito e de débito, consórcios, fundos de investimento e portfólios de gestão. O BANCO DO BRASIL S.A. atua nos mercados nacional e internacional.</v>
    <v>BVMF</v>
    <v>29.77</v>
    <v>91673</v>
    <v>44314.947916666664</v>
    <v>21</v>
    <v>BRL</v>
    <v>BANCO DO BRASIL S.A.</v>
    <v>BANCO DO BRASIL S.A.</v>
    <v>29.99</v>
    <v>30.3</v>
    <v>SAUN QD 5 LT B, Asa Norte, BRASILIA, DISTRITO FEDERAL, 70.040-912 BR</v>
    <v>Banking Services</v>
    <v>BBAS3</v>
    <v>Ações</v>
    <v>BANCO DO BRASIL S.A. (BVMF:BBAS3)</v>
    <v>0.53</v>
    <v>1.7802999999999999E-2</v>
    <v>15045300</v>
  </rv>
  <rv s="2">
    <v>22</v>
  </rv>
  <rv s="0">
    <v>http://en.wikipedia.org/wiki/Public_domain</v>
    <v>Public domain</v>
  </rv>
  <rv s="0">
    <v>http://en.wikipedia.org/wiki/Telefônica_Brasil</v>
    <v>Wikipedia</v>
  </rv>
  <rv s="4">
    <v>24</v>
    <v>25</v>
  </rv>
  <rv s="5">
    <v>14</v>
    <v>https://www.bing.com/th?id=AMMS_13ca1ef7d7b48c63536423afc6f537b0&amp;qlt=95</v>
    <v>26</v>
    <v>0</v>
    <v>https://www.bing.com/images/search?form=xlimg&amp;q=telefonica+vivo</v>
    <v>Image of TELEFÔNICA BRASIL S.A.</v>
  </rv>
  <rv s="0">
    <v>https://www.bing.com/financeapi/forcetrigger?t=apnkdm&amp;q=BVMF%3aVIVT3&amp;form=skydnc</v>
    <v>Learn more on Bing</v>
  </rv>
  <rv s="6">
    <v>9</v>
    <v>10</v>
    <v>TELEFÔNICA BRASIL S.A. (BVMF:VIVT3)</v>
    <v>12</v>
    <v>13</v>
    <v>Finance</v>
    <v>5</v>
    <v>pt-BR</v>
    <v>apnkdm</v>
    <v>268435456</v>
    <v>1</v>
    <v>Da plataforma Refinitiv</v>
    <v>51.6</v>
    <v>39.380000000000003</v>
    <v>BVMF</v>
    <v>1690985000</v>
    <v>43.18</v>
    <v>1998</v>
    <v>42.6</v>
    <v>0.22370000000000001</v>
    <v>B3 - Brazil Stock Exchange</v>
    <v>72610895900</v>
    <v>A Telefonica Brasil S.A. é uma empresa de telecomunicações móveis no Brasil que oferece serviços móveis pós-pagos. A Companhia também opera como uma empresa de telecomunicação fixa no estado de São Paulo. A Companhia comercializa seus serviços móveis sob sua marca Vivo. Oferece aos seus clientes um portfólio de produtos, incluindo voz móvel e fixa, dados móveis, banda larga fixa, banda larga ultra-rápida, televisão paga, tecnologia da informação e serviços digitais. Suas operações consistem em serviços telefônicos fixos locais e de longa distância; serviços móveis, incluindo serviços de valor agregado; serviços de dados, incluindo serviços de banda larga e serviços de dados móveis; Serviços de televisão paga através de acesso directo a casa (DTH), televisão por protocolo de Internet (IPTV) e cabo; serviços de rede, tais como aluguel de instalações, bem como outros serviços; serviços de atacado, incluindo interconexão; serviços digitais; serviços projetados especificamente para clientes corporativos e a venda de dispositivos e acessórios sem fio.</v>
    <v>BVMF</v>
    <v>42.95</v>
    <v>32759</v>
    <v>44314.947916666664</v>
    <v>27</v>
    <v>28</v>
    <v>BRL</v>
    <v>TELEFÔNICA BRASIL S.A.</v>
    <v>TELEFÔNICA BRASIL S.A.</v>
    <v>43.06</v>
    <v>42.94</v>
    <v>Av Engenheiro Luis Carlos Berrini, 1376 32 andar, Cidade Moncoes, SAO PAULO, SAO PAULO, 04.571-936 BR</v>
    <v>Telecommunications Services</v>
    <v>VIVT3</v>
    <v>Ações</v>
    <v>TELEFÔNICA BRASIL S.A. (BVMF:VIVT3)</v>
    <v>-0.01</v>
    <v>-2.3279999999999999E-4</v>
    <v>2020300</v>
  </rv>
  <rv s="2">
    <v>29</v>
  </rv>
  <rv s="0">
    <v>https://www.bing.com/financeapi/forcetrigger?t=bxf8h7&amp;q=BVMF%3aJALL3&amp;form=skydnc</v>
    <v>Learn more on Bing</v>
  </rv>
  <rv s="7">
    <v>15</v>
    <v>16</v>
    <v>JALLES MACHADO S.A. (BVMF:JALL3)</v>
    <v>3</v>
    <v>17</v>
    <v>Finance</v>
    <v>5</v>
    <v>pt-BR</v>
    <v>bxf8h7</v>
    <v>268435456</v>
    <v>1</v>
    <v>Da plataforma Refinitiv</v>
    <v>9.99</v>
    <v>7.35</v>
    <v>BVMF</v>
    <v>294697100</v>
    <v>9.14</v>
    <v>8.4</v>
    <v>B3 - Brazil Stock Exchange</v>
    <v>2599228422</v>
    <v>A Jalles Machado SA é uma empresa sediada no Brasil que se dedica principalmente à produção de açúcar e etanol. As atividades da Empresa estão divididas em dois segmentos operacionais: Açúcar-Energia e Borracha Natural. O segmento Sucroenergético está focado na produção de açúcar orgânico, branco e de Very High Polarization (VHP); etanol anidro, hidratado e orgânico; e outros derivados do processamento da cana-de-açúcar, como produtos de limpeza e fermento seco. O segmento Sucroenergético inclui também a cogeração de energia elétrica, utilizando o bagaço da cana-de-açúcar como fonte de energia térmica, mecânica e elétrica. O segmento Borracha Natural consiste no cultivo da seringueira e na produção de látex e seus derivados. A Companhia comercializa açúcar e produtos de limpeza sob a marca Itaja.</v>
    <v>BVMF</v>
    <v>8.7799999999999994</v>
    <v>44314.947928240741</v>
    <v>31</v>
    <v>BRL</v>
    <v>JALLES MACHADO S.A.</v>
    <v>JALLES MACHADO S.A.</v>
    <v>8.89</v>
    <v>8.82</v>
    <v>Fazenda Sao Pedro - Rodovia GO-080 - Km 185, Zona Rural - Caixa Postal 04, GOIANESIA, GOIAS, 76.388-899 BR</v>
    <v>Food &amp; Tobacco</v>
    <v>JALL3</v>
    <v>Ações</v>
    <v>JALLES MACHADO S.A. (BVMF:JALL3)</v>
    <v>0.04</v>
    <v>4.5560000000000002E-3</v>
    <v>682200</v>
  </rv>
  <rv s="2">
    <v>32</v>
  </rv>
  <rv s="0">
    <v>https://www.bing.com/financeapi/forcetrigger?t=apn14c&amp;q=BVMF%3aMXRF11&amp;form=skydnc</v>
    <v>Learn more on Bing</v>
  </rv>
  <rv s="8">
    <v>18</v>
    <v>19</v>
    <v>MAXI RENDA FII ETF (BVMF:MXRF11)</v>
    <v>20</v>
    <v>21</v>
    <v>Finance</v>
    <v>5</v>
    <v>pt-BR</v>
    <v>apn14c</v>
    <v>268435456</v>
    <v>1</v>
    <v>Da plataforma Refinitiv</v>
    <v>10.68</v>
    <v>8.99</v>
    <v>BVMF</v>
    <v>10.6</v>
    <v>10.58</v>
    <v>B3 - Brazil Stock Exchange</v>
    <v>10.57</v>
    <v>44314.947928240741</v>
    <v>34</v>
    <v>BRL</v>
    <v>MAXI RENDA FII ETF</v>
    <v>10.59</v>
    <v>10.59</v>
    <v>MXRF11</v>
    <v>Fundos mais negociados</v>
    <v>MAXI RENDA FII ETF (BVMF:MXRF11)</v>
    <v>0.02</v>
    <v>1.892E-3</v>
    <v>466629</v>
  </rv>
  <rv s="2">
    <v>35</v>
  </rv>
  <rv s="0">
    <v>https://www.bing.com/financeapi/forcetrigger?t=bt6vk2&amp;q=BVMF%3aMCCI11&amp;form=skydnc</v>
    <v>Learn more on Bing</v>
  </rv>
  <rv s="8">
    <v>18</v>
    <v>19</v>
    <v>FDO INV. MAUA CAPITAL RECEBIVEIS IMOB. - FII ETF (BVMF:MCCI11)</v>
    <v>20</v>
    <v>21</v>
    <v>Finance</v>
    <v>5</v>
    <v>pt-BR</v>
    <v>bt6vk2</v>
    <v>268435456</v>
    <v>1</v>
    <v>Da plataforma Refinitiv</v>
    <v>105.54</v>
    <v>76.239999999999995</v>
    <v>BVMF</v>
    <v>103.4</v>
    <v>102</v>
    <v>B3 - Brazil Stock Exchange</v>
    <v>102.81</v>
    <v>44314.947928240741</v>
    <v>37</v>
    <v>BRL</v>
    <v>FDO INV. MAUA CAPITAL RECEBIVEIS IMOB. - FII ETF</v>
    <v>103</v>
    <v>102.9</v>
    <v>MCCI11</v>
    <v>Fundos mais negociados</v>
    <v>FDO INV. MAUA CAPITAL RECEBIVEIS IMOB. - FII ETF (BVMF:MCCI11)</v>
    <v>0.09</v>
    <v>8.7540000000000003E-4</v>
    <v>37879</v>
  </rv>
  <rv s="2">
    <v>38</v>
  </rv>
  <rv s="0">
    <v>https://www.bing.com/financeapi/forcetrigger?t=bjm5yc&amp;q=BVMF%3aRBRP11&amp;form=skydnc</v>
    <v>Learn more on Bing</v>
  </rv>
  <rv s="8">
    <v>18</v>
    <v>19</v>
    <v>FDO INV IMOB RBR PROPERTIES CF (BVMF:RBRP11)</v>
    <v>20</v>
    <v>21</v>
    <v>Finance</v>
    <v>5</v>
    <v>pt-BR</v>
    <v>bjm5yc</v>
    <v>268435456</v>
    <v>1</v>
    <v>Da plataforma Refinitiv</v>
    <v>96.29</v>
    <v>67.8</v>
    <v>BVMF</v>
    <v>88</v>
    <v>86.95</v>
    <v>B3 - Brazil Stock Exchange</v>
    <v>87.51</v>
    <v>44314.947928240741</v>
    <v>40</v>
    <v>BRL</v>
    <v>FDO INV IMOB RBR PROPERTIES CF</v>
    <v>87.52</v>
    <v>87</v>
    <v>RBRP11</v>
    <v>Fundos mais negociados</v>
    <v>FDO INV IMOB RBR PROPERTIES CF (BVMF:RBRP11)</v>
    <v>-0.51</v>
    <v>-5.8279999999999998E-3</v>
    <v>43275</v>
  </rv>
  <rv s="2">
    <v>41</v>
  </rv>
  <rv s="0">
    <v>https://www.bing.com/financeapi/forcetrigger?t=bswvm7&amp;q=BVMF%3aBTLG11&amp;form=skydnc</v>
    <v>Learn more on Bing</v>
  </rv>
  <rv s="8">
    <v>18</v>
    <v>19</v>
    <v>BTG PACTUAL LOGISTICA FDO INV IMOB - FII ETF (BVMF:BTLG11)</v>
    <v>20</v>
    <v>21</v>
    <v>Finance</v>
    <v>5</v>
    <v>pt-BR</v>
    <v>bswvm7</v>
    <v>268435456</v>
    <v>1</v>
    <v>Da plataforma Refinitiv</v>
    <v>117.56</v>
    <v>82.39</v>
    <v>BVMF</v>
    <v>115.79</v>
    <v>114.27</v>
    <v>B3 - Brazil Stock Exchange</v>
    <v>114.25</v>
    <v>44314.947928240741</v>
    <v>43</v>
    <v>BRL</v>
    <v>BTG PACTUAL LOGISTICA FDO INV IMOB - FII ETF</v>
    <v>114.29</v>
    <v>114.27</v>
    <v>BTLG11</v>
    <v>Fundos mais negociados</v>
    <v>BTG PACTUAL LOGISTICA FDO INV IMOB - FII ETF (BVMF:BTLG11)</v>
    <v>0.02</v>
    <v>1.751E-4</v>
    <v>48584</v>
  </rv>
  <rv s="2">
    <v>44</v>
  </rv>
  <rv s="0">
    <v>http://en.wikipedia.org/wiki/Amazon_(company)</v>
    <v>Wikipedia</v>
  </rv>
  <rv s="4">
    <v>24</v>
    <v>46</v>
  </rv>
  <rv s="5">
    <v>14</v>
    <v>https://www.bing.com/th?id=AMMS_234d7638413b734c1560bf8e7f642960&amp;qlt=95</v>
    <v>47</v>
    <v>0</v>
    <v>https://www.bing.com/images/search?form=xlimg&amp;q=amazon.com</v>
    <v>Image of AMAZON.COM, INC.</v>
  </rv>
  <rv s="0">
    <v>https://www.bing.com/financeapi/forcetrigger?t=a1nhlh&amp;q=XNAS%3aAMZN&amp;form=skydnc</v>
    <v>Learn more on Bing</v>
  </rv>
  <rv s="9">
    <v>22</v>
    <v>23</v>
    <v>AMAZON.COM, INC. (XNAS:AMZN)</v>
    <v>12</v>
    <v>24</v>
    <v>Finance</v>
    <v>25</v>
    <v>pt-BR</v>
    <v>a1nhlh</v>
    <v>268435456</v>
    <v>1</v>
    <v>Da plataforma Refinitiv</v>
    <v>3552.25</v>
    <v>2256.38</v>
    <v>XNAS</v>
    <v>504116600</v>
    <v>3489.88</v>
    <v>1996</v>
    <v>3425</v>
    <v>1.1460999999999999</v>
    <v>Nasdaq Stock Market</v>
    <v>1743487261100</v>
    <v>A Amazon.com, Inc. oferece uma variedade de produtos e serviços através de seus sites. Os produtos da empresa incluem mercadorias e conteúdo que compra para revenda de fornecedores e aqueles oferecidos por terceiros. Também fabrica e vende dispositivos eletrônicos. Opera em três segmentos: América do Norte, Internacional e Amazon Web Services (AWS). Seus produtos da AWS incluem análises, Amazon Athena, Amazon CloudSearch, Amazon EMR, Amazon Elasticsearch Service, Amazon Kinesis, Amazon Managed Streaming para Apache Kafka, Amazon Redshift, Amazon QuickSight, AWS Data Pipeline, AWS Glue e AWS Lake Formation. As soluções da AWS incluem machine learning, análises e lagos de dados, Internet das Coisas, computação sem servidor, contêineres, aplicativos corporativos e armazenamento. Além disso, a Companhia presta serviços, como publicidade. Também oferece o Amazon Prime, um programa de associação que inclui frete grátis, acesso a streaming de vários filmes e episódios de televisão (TV).</v>
    <v>XNAS</v>
    <v>3417.43</v>
    <v>1298000</v>
    <v>44314.999994039063</v>
    <v>48</v>
    <v>49</v>
    <v>3206587</v>
    <v>USD</v>
    <v>AMAZON.COM, INC.</v>
    <v>AMAZON.COM, INC.</v>
    <v>82.831000000000003</v>
    <v>3434.8</v>
    <v>3458.5</v>
    <v>410 Terry Ave N, SEATTLE, WA, 98109-5210 US</v>
    <v>Diversified Retail</v>
    <v>AMZN</v>
    <v>Ações</v>
    <v>AMAZON.COM, INC. (XNAS:AMZN)</v>
    <v>41.07</v>
    <v>1.2017999999999999E-2</v>
    <v>78635</v>
  </rv>
  <rv s="2">
    <v>50</v>
  </rv>
  <rv s="0">
    <v>https://creativecommons.org/licenses/by-sa/3.0</v>
    <v>CC BY-SA 3.0</v>
  </rv>
  <rv s="0">
    <v>http://en.wikipedia.org/wiki/Berkshire_Hathaway</v>
    <v>Wikipedia</v>
  </rv>
  <rv s="4">
    <v>52</v>
    <v>53</v>
  </rv>
  <rv s="5">
    <v>14</v>
    <v>https://www.bing.com/th?id=AMMS_030d5c96ae1e8173075ad6734ed25793&amp;qlt=95</v>
    <v>54</v>
    <v>0</v>
    <v>https://www.bing.com/images/search?form=xlimg&amp;q=berkshire+hathaway</v>
    <v>Image of BERKSHIRE HATHAWAY INC.</v>
  </rv>
  <rv s="0">
    <v>https://www.bing.com/financeapi/forcetrigger?t=a1otrw&amp;q=XNYS%3aBRK.B&amp;form=skydnc</v>
    <v>Learn more on Bing</v>
  </rv>
  <rv s="9">
    <v>22</v>
    <v>23</v>
    <v>BERKSHIRE HATHAWAY INC. (XNYS:BRK.B)</v>
    <v>12</v>
    <v>24</v>
    <v>Finance</v>
    <v>25</v>
    <v>pt-BR</v>
    <v>a1otrw</v>
    <v>268435456</v>
    <v>1</v>
    <v>Da plataforma Refinitiv</v>
    <v>274.16000000000003</v>
    <v>167.0401</v>
    <v>XNYS</v>
    <v>1529800</v>
    <v>273.95999999999998</v>
    <v>1998</v>
    <v>272.13</v>
    <v>0.90549999999999997</v>
    <v>New York Stock Exchange</v>
    <v>628535000000</v>
    <v>A BERKSHIRE HATHAWAY INC. é uma empresa holding com subsidiárias envolvidas em várias atividades empresariais. A Empresa conduz negócios de seguros, tanto primários quanto de resseguro, transporte ferroviário de mercadorias e um grupo de negócios de serviços públicos e geração e distribuição de energia. Entre seus segmentos estão a GEICO, a General Re Corporation (General Re), a Berkshire Hathaway Reinsurance Group (BHRG), a Berkshire Hathaway Primary Group, Burlington Northern Santa Fe, LLC (BNSF), Berkshire Hathaway Energy, Manufacturing, McLane Company, Service and Retailing e Finance e produtos financeiros. Suas atividades de seguros e resseguros são realizadas por meio de diversas seguradoras nacionais e estrangeiras. Seus negócios de seguros fornecem seguro e resseguro de riscos à propriedade e de acidentes, além de resseguro de riscos de vida, acidentes e saúde em todo o mundo.</v>
    <v>XNYS</v>
    <v>273.64999999999998</v>
    <v>360000</v>
    <v>44314.999662048438</v>
    <v>55</v>
    <v>56</v>
    <v>4314329</v>
    <v>USD</v>
    <v>BERKSHIRE HATHAWAY INC.</v>
    <v>BERKSHIRE HATHAWAY INC.</v>
    <v>15.0718</v>
    <v>273.54000000000002</v>
    <v>272.95</v>
    <v>3555 Farnam St, OMAHA, NE, 68131-3311 US</v>
    <v>Consumer Goods Conglomerates</v>
    <v>BRK.B</v>
    <v>Ações</v>
    <v>BERKSHIRE HATHAWAY INC. (XNYS:BRK.B)</v>
    <v>-0.7</v>
    <v>-2.5580000000000004E-3</v>
    <v>2335</v>
  </rv>
  <rv s="2">
    <v>57</v>
  </rv>
  <rv s="0">
    <v>http://en.wikipedia.org/wiki/The_Coca-Cola_Company</v>
    <v>Wikipedia</v>
  </rv>
  <rv s="4">
    <v>24</v>
    <v>59</v>
  </rv>
  <rv s="5">
    <v>14</v>
    <v>https://www.bing.com/th?id=AMMS_5c38a19703348515f2ba1542f244f1f6&amp;qlt=95</v>
    <v>60</v>
    <v>0</v>
    <v>https://www.bing.com/images/search?form=xlimg&amp;q=the+coca-cola+company</v>
    <v>Image of THE COCA-COLA COMPANY</v>
  </rv>
  <rv s="0">
    <v>https://www.bing.com/financeapi/forcetrigger?t=a1wljc&amp;q=XNYS%3aKO&amp;form=skydnc</v>
    <v>Learn more on Bing</v>
  </rv>
  <rv s="9">
    <v>22</v>
    <v>23</v>
    <v>THE COCA-COLA COMPANY (XNYS:KO)</v>
    <v>12</v>
    <v>24</v>
    <v>Finance</v>
    <v>25</v>
    <v>pt-BR</v>
    <v>a1wljc</v>
    <v>268435456</v>
    <v>1</v>
    <v>Da plataforma Refinitiv</v>
    <v>54.93</v>
    <v>43.2</v>
    <v>XNYS</v>
    <v>4311681000</v>
    <v>54.046999999999997</v>
    <v>1919</v>
    <v>53.435000000000002</v>
    <v>0.61319999999999997</v>
    <v>New York Stock Exchange</v>
    <v>230936030080</v>
    <v>A THE COCA-COLA COMPANY é uma empresa de bebidas. A Empresa possui ou licencia e comercializa marcas de bebidas não alcoólicas, principalmente bebidas gaseificadas, mas também uma gama de bebidas, como águas, águas aromatizadas, sucos e bebidas à base de sucos, cafés e chás prontos para o consumo, bebidas energéticas e bebidas esportivas. Os segmentos da Companhia incluem Europa, Médio Oriente e África; América Latina; América do Norte; Ásia-Pacífico; Investmentos de Engarrafamento, e Corporativo. A Companhia possui e comercializa uma variedade de marcas de bebidas não alcoólicas, incluindo Coca-Cola, Diet Coke, Fanta e Sprite. A Companhia possui e comercializa uma variedade de marcas de bebidas não alcoólicas, incluindo Coca-Cola, Diet Coke, Fanta e Sprite. A Companhia possui ou licencia e comercializa mais de 500 marcas de bebidas não alcoólicas. A Companhia comercializa, fabrica e vende concentrados de bebidas, que são designados por bases de bebidas e xaropes, e bebidas gaseificadas e sem gás.</v>
    <v>XNYS</v>
    <v>53.58</v>
    <v>80300</v>
    <v>44314.997321122653</v>
    <v>61</v>
    <v>62</v>
    <v>13517418</v>
    <v>USD</v>
    <v>THE COCA-COLA COMPANY</v>
    <v>THE COCA-COLA COMPANY</v>
    <v>32.109000000000002</v>
    <v>53.98</v>
    <v>53.59</v>
    <v>1 Coca Cola Plz NW, ATLANTA, GA, 30313-2420 US</v>
    <v>Beverages</v>
    <v>KO</v>
    <v>Ações</v>
    <v>THE COCA-COLA COMPANY (XNYS:KO)</v>
    <v>0.01</v>
    <v>1.8659999999999998E-4</v>
    <v>14658</v>
  </rv>
  <rv s="2">
    <v>63</v>
  </rv>
  <rv s="0">
    <v>http://ja.wikipedia.org/wiki/アップル_(企業)</v>
    <v>Wikipedia</v>
  </rv>
  <rv s="4">
    <v>24</v>
    <v>65</v>
  </rv>
  <rv s="5">
    <v>14</v>
    <v>https://www.bing.com/th?id=AMMS_5bc8393c85a56e6bb6524ea7b3970bad&amp;qlt=95</v>
    <v>66</v>
    <v>0</v>
    <v>https://www.bing.com/images/search?form=xlimg&amp;q=apple+inc</v>
    <v>Image of APPLE INC.</v>
  </rv>
  <rv s="0">
    <v>https://www.bing.com/financeapi/forcetrigger?t=a1mou2&amp;q=XNAS%3aAAPL&amp;form=skydnc</v>
    <v>Learn more on Bing</v>
  </rv>
  <rv s="9">
    <v>22</v>
    <v>23</v>
    <v>APPLE INC. (XNAS:AAPL)</v>
    <v>12</v>
    <v>24</v>
    <v>Finance</v>
    <v>25</v>
    <v>pt-BR</v>
    <v>a1mou2</v>
    <v>268435456</v>
    <v>1</v>
    <v>Da plataforma Refinitiv</v>
    <v>145.09</v>
    <v>70.972499999999997</v>
    <v>XNAS</v>
    <v>16788100000</v>
    <v>135.02000000000001</v>
    <v>1977</v>
    <v>133.08000000000001</v>
    <v>1.2103999999999999</v>
    <v>Nasdaq Stock Market</v>
    <v>2256152000000</v>
    <v>A APPLE INC. projeta, fabrica e comercializa dispositivos móveis de comunicação e mídia, computadores pessoais e dispositivos digitais portáteis para reprodução de música. A Empresa vende uma variedade de software, serviços, acessórios, soluções de rede, conteúdo e aplicativos digitais de terceiros. Os segmentos da Empresa incluem as Américas, Europa, China Maior, Japão e o Restante da Ásia-Pacífico. O segmento das Américas inclui América do Norte e do Sul. O segmento Europa inclui os países europeus, Índia, Oriente Médio e África. O segmento China Maior inclui China, Hong Kong e Taiwan. O segmento Restante da Ásia-Pacífico inclui a Austrália e os países asiáticos não incluídos nos outros segmentos operacionais da Empresa. Seus produtos e serviços incluem iPhone, iPad, Mac, iPod, Apple Watch, Apple TV, um portfólio de aplicativos de software ao consumidor e profissionais, iPhone OS (iOS), sistemas operacionais OS X e watchOS, iCloud, Apple Pay e uma variedade de acessórios, serviços e ofertas de suporte.</v>
    <v>XNAS</v>
    <v>134.38999999999999</v>
    <v>147000</v>
    <v>44314.999999814063</v>
    <v>67</v>
    <v>68</v>
    <v>87811105</v>
    <v>USD</v>
    <v>APPLE INC.</v>
    <v>APPLE INC.</v>
    <v>36.111499999999999</v>
    <v>134.31</v>
    <v>133.58000000000001</v>
    <v>1 Apple Park Way, CUPERTINO, CA, 95014-0642 US</v>
    <v>Computers, Phones &amp; Household Electronics</v>
    <v>AAPL</v>
    <v>Ações</v>
    <v>APPLE INC. (XNAS:AAPL)</v>
    <v>-0.81</v>
    <v>-6.0270000000000002E-3</v>
    <v>2228613</v>
  </rv>
  <rv s="2">
    <v>69</v>
  </rv>
  <rv s="0">
    <v>http://en.wikipedia.org/wiki/Wells_Fargo</v>
    <v>Wikipedia</v>
  </rv>
  <rv s="4">
    <v>24</v>
    <v>71</v>
  </rv>
  <rv s="5">
    <v>14</v>
    <v>https://www.bing.com/th?id=AMMS_97bd8dad8c0360a49d8c3a8c9f408be5&amp;qlt=95</v>
    <v>72</v>
    <v>0</v>
    <v>https://www.bing.com/images/search?form=xlimg&amp;q=wells+fargo</v>
    <v>Image of WELLS FARGO &amp; COMPANY</v>
  </rv>
  <rv s="0">
    <v>https://www.bing.com/financeapi/forcetrigger?t=a25tgh&amp;q=XNYS%3aWFC&amp;form=skydnc</v>
    <v>Learn more on Bing</v>
  </rv>
  <rv s="9">
    <v>22</v>
    <v>23</v>
    <v>WELLS FARGO &amp; COMPANY (XNYS:WFC)</v>
    <v>12</v>
    <v>24</v>
    <v>Finance</v>
    <v>26</v>
    <v>pt-BR</v>
    <v>a25tgh</v>
    <v>268435456</v>
    <v>1</v>
    <v>Da plataforma Refinitiv</v>
    <v>45.664999999999999</v>
    <v>20.76</v>
    <v>XNYS</v>
    <v>4134145000</v>
    <v>45.664999999999999</v>
    <v>1929</v>
    <v>44.93</v>
    <v>1.3621000000000001</v>
    <v>New York Stock Exchange</v>
    <v>186367256600</v>
    <v>A Wells Fargo &amp; Company é uma holding bancária. A Companhia é uma empresa de serviços financeiros diversificada. Possui três segmentos operacionais: Banco Comunitário, Banco de Atacado e Gerenciamento de Riqueza e Investimentos. A Companhia oferece seus serviços sob três categorias: pessoal, pequeno negócio e comercial. Fornece serviços bancários de varejo, comerciais e corporativos por meio de agências e escritórios, Internet e outros canais de distribuição para indivíduos, empresas e instituições em todos os 50 estados, no Distrito de Columbia e em outros países. Fornece outros serviços financeiros através de suas controladas envolvidas em diversos negócios, incluindo banco de atacado, banco hipotecário, financiamento ao consumidor, leasing de equipamentos, financiamento agrícola, finanças comerciais, corretagem de valores mobiliários e banco de investimento, serviços de informática e processamento de dados, serviços de consultoria de investimentos, serviços de garantia de títulos e investimento de capital de risco.</v>
    <v>XNYS</v>
    <v>45.09</v>
    <v>200000</v>
    <v>44314.99967125</v>
    <v>73</v>
    <v>74</v>
    <v>30238958</v>
    <v>USD</v>
    <v>WELLS FARGO &amp; COMPANY</v>
    <v>WELLS FARGO &amp; COMPANY</v>
    <v>43.823999999999998</v>
    <v>45.15</v>
    <v>45.08</v>
    <v>420 Montgomery St, SAN FRANCISCO, CA, 94104-1207 US</v>
    <v>Banking Services</v>
    <v>WFC</v>
    <v>Ações</v>
    <v>WELLS FARGO &amp; COMPANY (XNYS:WFC)</v>
    <v>-0.01</v>
    <v>-2.2179999999999997E-4</v>
    <v>26736</v>
  </rv>
  <rv s="2">
    <v>75</v>
  </rv>
  <rv s="0">
    <v>https://en.wikipedia.org/wiki/Microsoft</v>
    <v>Wikipedia</v>
  </rv>
  <rv s="4">
    <v>24</v>
    <v>77</v>
  </rv>
  <rv s="5">
    <v>14</v>
    <v>https://www.bing.com/th?id=AMMS_1435b697418eae5bfbed034f46c28dc4&amp;qlt=95</v>
    <v>78</v>
    <v>0</v>
    <v>https://www.bing.com/images/search?form=xlimg&amp;q=microsoft</v>
    <v>Image of MICROSOFT CORPORATION</v>
  </rv>
  <rv s="0">
    <v>https://www.bing.com/financeapi/forcetrigger?t=a1xzim&amp;q=XNAS%3aMSFT&amp;form=skydnc</v>
    <v>Learn more on Bing</v>
  </rv>
  <rv s="9">
    <v>22</v>
    <v>23</v>
    <v>MICROSOFT CORPORATION (XNAS:MSFT)</v>
    <v>12</v>
    <v>24</v>
    <v>Finance</v>
    <v>25</v>
    <v>pt-BR</v>
    <v>a1xzim</v>
    <v>268435456</v>
    <v>1</v>
    <v>Da plataforma Refinitiv</v>
    <v>263.19</v>
    <v>171.88</v>
    <v>XNAS</v>
    <v>7531575000</v>
    <v>256.53989999999999</v>
    <v>1993</v>
    <v>252.95</v>
    <v>0.79159999999999997</v>
    <v>Nasdaq Stock Market</v>
    <v>1919946504960</v>
    <v>A MICROSOFT CORPORATION é uma empresa de tecnologia. A Empresa desenvolve, licencia e oferece suporte a uma gama de produtos de software, serviços e dispositivos. Seus segmentos são Produtividade e Processos de Negócio, Nuvem Inteligente e Outras Soluções de Computação Pessoal. Seus produtos incluem sistemas operacionais; aplicativos de produtividade de dispositivos cruzados; aplicativos de servidor; aplicativos de soluções de negócio; ferramentas de gerenciamento de desktop e servidor; ferramentas de desenvolvimento de software; videojogos, e treinamento e certificação de integradores e desenvolvedores de sistemas de computador. Ela também projeta, fabrica e vende dispositivos, incluindo computadores pessoais, tablets, consoles para jogos e entretenimento, telefones, outros dispositivos inteligentes e acessórios relacionados, que se integram com suas ofertas baseadas em nuvem. Ela oferece uma variedade de serviços, incluindo soluções baseadas em nuvem, que fornecem aos clientes software, serviços, plataformas e conteúdo, além de oferecer serviços de suporte e consultoria de soluções. Ela também oferece publicidade online.</v>
    <v>XNAS</v>
    <v>261.97000000000003</v>
    <v>163000</v>
    <v>44314.999956921092</v>
    <v>79</v>
    <v>80</v>
    <v>27038757</v>
    <v>USD</v>
    <v>MICROSOFT CORPORATION</v>
    <v>MICROSOFT CORPORATION</v>
    <v>34.644100000000002</v>
    <v>256.07799999999997</v>
    <v>254.56</v>
    <v>1 Microsoft Way, REDMOND, WA, 98052-6399 US</v>
    <v>Software &amp; IT Services</v>
    <v>MSFT</v>
    <v>Ações</v>
    <v>MICROSOFT CORPORATION (XNAS:MSFT)</v>
    <v>-7.41</v>
    <v>-2.8285999999999999E-2</v>
    <v>309948</v>
  </rv>
  <rv s="2">
    <v>81</v>
  </rv>
  <rv s="0">
    <v>http://en.wikipedia.org/wiki/Alphabet_Inc.</v>
    <v>Wikipedia</v>
  </rv>
  <rv s="4">
    <v>24</v>
    <v>83</v>
  </rv>
  <rv s="5">
    <v>14</v>
    <v>https://www.bing.com/th?id=AMMS_91f59ff6c9305ce24b1cf0389cd856f8&amp;qlt=95</v>
    <v>84</v>
    <v>0</v>
    <v>https://www.bing.com/images/search?form=xlimg&amp;q=alphabet+inc.</v>
    <v>Image of ALPHABET INC.</v>
  </rv>
  <rv s="0">
    <v>https://www.bing.com/financeapi/forcetrigger?t=a1u3rw&amp;q=XNAS%3aGOOGL&amp;form=skydnc</v>
    <v>Learn more on Bing</v>
  </rv>
  <rv s="9">
    <v>22</v>
    <v>23</v>
    <v>ALPHABET INC. (XNAS:GOOGL)</v>
    <v>12</v>
    <v>24</v>
    <v>Finance</v>
    <v>25</v>
    <v>pt-BR</v>
    <v>a1u3rw</v>
    <v>268435456</v>
    <v>1</v>
    <v>Da plataforma Refinitiv</v>
    <v>2431.38</v>
    <v>1296.01</v>
    <v>XNAS</v>
    <v>674140100</v>
    <v>2431.38</v>
    <v>2015</v>
    <v>2353.2199999999998</v>
    <v>1.0188999999999999</v>
    <v>Nasdaq Stock Market</v>
    <v>1549728000000</v>
    <v>A ALPHABET INC. é uma holding. A empresa detém participações no Google Inc. (Google). Os segmentos da empresa incluem Google e Other Bets. O segmento Google inclui produtos da Internet como produtos de Pesquisa, Anúncios, Comércio, Mapas, YouTube, Aplicativos, Nuvem, Android, Chrome, Google Play e produtos de hardware, incluindo o Chromecast, Chromebooks e Nexus, que são vendidos pela empresa. Sua infraestrutura técnica e Realidade Virtual também estão incluídas no segmento Google. O segmento Google está envolvido em publicidade, venda de conteúdo digital, aplicativos e serviços em nuvem, bem como a venda de hardware da marca Google. O segmento Other Bets consiste em vários segmentos operacionais e inclui negócios como Access/Google Fiber, Calico, Nest, Verily, GV, Google Capital, X e outras iniciativas. O segmento Other Bets está envolvido na venda de produtos de hardware Nest, serviços de Internet e televisão através do Google Fiber, além de serviços de licenciamento e pesquisa e desenvolvimento (P&amp;D) através da Verily.</v>
    <v>XNAS</v>
    <v>2290.98</v>
    <v>139995</v>
    <v>44314.999948865625</v>
    <v>85</v>
    <v>86</v>
    <v>1602996</v>
    <v>USD</v>
    <v>ALPHABET INC.</v>
    <v>ALPHABET INC.</v>
    <v>31.422899999999998</v>
    <v>2392.4953999999998</v>
    <v>2359.04</v>
    <v>1600 Amphitheatre Pkwy, MOUNTAIN VIEW, CA, 94043-1351 US</v>
    <v>Software &amp; IT Services</v>
    <v>GOOGL</v>
    <v>Ações</v>
    <v>ALPHABET INC. (XNAS:GOOGL)</v>
    <v>68.06</v>
    <v>2.9708000000000002E-2</v>
    <v>13714</v>
  </rv>
  <rv s="2">
    <v>87</v>
  </rv>
  <rv s="10">
    <v>27</v>
    <v>28</v>
    <v>BTC/USD</v>
    <v>29</v>
    <v>30</v>
    <v>Finance</v>
    <v>31</v>
    <v>pt-BR</v>
    <v>bo8l6h</v>
    <v>268435456</v>
    <v>1</v>
    <v>Da plataforma Refinitiv</v>
    <v>64899.97</v>
    <v>7388.29</v>
    <v>55219.69</v>
    <v>53546.75</v>
    <v>BTC</v>
    <v>54427.56</v>
    <v>44315.522407407407</v>
    <v>USD</v>
    <v>Bitcoin/US Dollar FX Spot Rate</v>
    <v>54443.9</v>
    <v>54391.7</v>
    <v>BTCUSD</v>
    <v>Par de Moedas</v>
    <v>BTC/USD</v>
    <v>-35.86</v>
    <v>-6.5890000000000002E-4</v>
  </rv>
  <rv s="2">
    <v>89</v>
  </rv>
  <rv s="10">
    <v>27</v>
    <v>28</v>
    <v>XRP/USD</v>
    <v>29</v>
    <v>30</v>
    <v>Finance</v>
    <v>31</v>
    <v>pt-BR</v>
    <v>btjwyc</v>
    <v>268435456</v>
    <v>1</v>
    <v>Da plataforma Refinitiv</v>
    <v>1.9730000000000001</v>
    <v>0.17069999999999999</v>
    <v>1.419</v>
    <v>1.3286</v>
    <v>XRP</v>
    <v>1.3423</v>
    <v>44315.521689814814</v>
    <v>USD</v>
    <v>Ripple/US Dollar FX Spot Rate</v>
    <v>1.3423</v>
    <v>1.401</v>
    <v>XRPUSD</v>
    <v>Par de Moedas</v>
    <v>XRP/USD</v>
    <v>5.8790000000000002E-2</v>
    <v>4.3799999999999999E-2</v>
  </rv>
  <rv s="2">
    <v>91</v>
  </rv>
  <rv s="0">
    <v>https://www.bing.com/financeapi/forcetrigger?t=apmuvh&amp;q=BVMF%3aLCAM3&amp;form=skydnc</v>
    <v>Learn more on Bing</v>
  </rv>
  <rv s="11">
    <v>32</v>
    <v>33</v>
    <v>Companhia de Locação das Américas (BVMF:LCAM3)</v>
    <v>3</v>
    <v>34</v>
    <v>Finance</v>
    <v>5</v>
    <v>pt-BR</v>
    <v>apmuvh</v>
    <v>268435456</v>
    <v>1</v>
    <v>Da plataforma Refinitiv</v>
    <v>30.58</v>
    <v>10.210000000000001</v>
    <v>BVMF</v>
    <v>508729400</v>
    <v>25.89</v>
    <v>2008</v>
    <v>24.5</v>
    <v>1.139</v>
    <v>B3 - Brazil Stock Exchange</v>
    <v>12509660000</v>
    <v>A COMPANHIA DE LOCAÇÃO DAS AMÉRICAS é uma empresa brasileira que se dedica principalmente à locação de veículos motorizados. A empresa se dedica principalmente à locação de veículos nacionais e importados, com ou sem motoristas. O portfólio da empresa inclui motocicletas, carros de passageiros e caminhões, entre outros. Através de suas subsidiárias, a empresa atua em diversos estados brasileiros. As principais unidades operacionais da empresa estão localizadas nas cidades de São Paulo, Belo Horizonte, Rio de Janeiro, Curitiba, Vitória, Salvador, Fortaleza, Porto Alegre, Curitiba, Cuiabá, Brasília, Belém e Manaus. Em 31 de dezembro de 2011, a frota da empresa era formada por 27.262 carros. Em 31 de dezembro de 2011, a empresa possuía duas subsidiárias: Agile Car Ltda. e Locarvel Locadora de Veículos Ltda.</v>
    <v>BVMF</v>
    <v>24.59</v>
    <v>44314.947916666664</v>
    <v>93</v>
    <v>BRL</v>
    <v>Companhia de Locação das Américas</v>
    <v>Companhia de Locação das Américas</v>
    <v>24.65</v>
    <v>25.8</v>
    <v>Avenida Raja Gabaglia, n 1781 12 andar, Luxemburgo, BELO HORIZONTE, MINAS GERAIS, 30.380-457 BR</v>
    <v>Professional &amp; Commercial Services</v>
    <v>LCAM3</v>
    <v>Ações</v>
    <v>Companhia de Locação das Américas (BVMF:LCAM3)</v>
    <v>1.21</v>
    <v>4.9207000000000001E-2</v>
    <v>2397800</v>
  </rv>
  <rv s="2">
    <v>94</v>
  </rv>
  <rv s="0">
    <v>http://en.wikipedia.org/wiki/Petrobras</v>
    <v>Wikipedia</v>
  </rv>
  <rv s="4">
    <v>24</v>
    <v>96</v>
  </rv>
  <rv s="5">
    <v>14</v>
    <v>https://www.bing.com/th?id=AMMS_10e3be47cbdf35bde135c8a28351a136&amp;qlt=95</v>
    <v>97</v>
    <v>0</v>
    <v>https://www.bing.com/images/search?form=xlimg&amp;q=petrobras</v>
    <v>Image of Petróleo Brasileiro S.A. (Petrobras)</v>
  </rv>
  <rv s="0">
    <v>https://www.bing.com/financeapi/forcetrigger?t=apn4gh&amp;q=BVMF%3aPETR4&amp;form=skydnc</v>
    <v>Learn more on Bing</v>
  </rv>
  <rv s="6">
    <v>9</v>
    <v>10</v>
    <v>Petróleo Brasileiro S.A. (Petrobras) (BVMF:PETR4)</v>
    <v>12</v>
    <v>13</v>
    <v>Finance</v>
    <v>5</v>
    <v>pt-BR</v>
    <v>apn4gh</v>
    <v>268435456</v>
    <v>1</v>
    <v>Da plataforma Refinitiv</v>
    <v>30.73</v>
    <v>16.09</v>
    <v>BVMF</v>
    <v>13044500000</v>
    <v>24.09</v>
    <v>1953</v>
    <v>23.36</v>
    <v>1.6923999999999999</v>
    <v>B3 - Brazil Stock Exchange</v>
    <v>298648600000</v>
    <v>A PETRÓLEO BRASILEIRO S.A. - PETROBRAS é uma empresa especializada na indústria de petróleo, gás natural e energia. A Empresa está envolvida na prospecção, perfuração, refinação, transformação, comercialização e transporte de petróleo bruto proveniente da produção de campos petrolíferos onshore e offshore e de xisto ou outras rochas. Seus segmentos incluem Exploração e Produção, que abrange as atividades de exploração, desenvolvimento e produção de petróleo bruto, gás natural líquido e gás natural; Refinação, Transporte e Marketing, que abrange as atividades de refinação, logística, transporte e comercialização de petróleo, exportação de etanol e extração e processamento de xistos; Gás e Energia, que se dedica ao transporte e comercialização de gás natural produzido no Brasil e gás natural importado; Biocombustíveis, que abrange as atividades de produção de biodiesel e seus co-produtos, e atividades relacionadas ao etanol; Distribuição, que inclui as atividades de sua subsidiária Petrobras Distribuidora S.A. e Corporativa.</v>
    <v>BVMF</v>
    <v>23.1</v>
    <v>49050</v>
    <v>44314.947916666664</v>
    <v>98</v>
    <v>99</v>
    <v>BRL</v>
    <v>Petróleo Brasileiro S.A. (Petrobras)</v>
    <v>Petróleo Brasileiro S.A. (Petrobras)</v>
    <v>23.4</v>
    <v>23.94</v>
    <v>Av. Republica do Chile, n 65 - Centr, RIO DE JANEIRO, RIO DE JANEIRO, 20.031-912 BR</v>
    <v>Oil &amp; Gas</v>
    <v>PETR4</v>
    <v>Ações</v>
    <v>Petróleo Brasileiro S.A. (Petrobras) (BVMF:PETR4)</v>
    <v>0.84</v>
    <v>3.6364E-2</v>
    <v>65861100</v>
  </rv>
  <rv s="2">
    <v>100</v>
  </rv>
  <rv s="0">
    <v>https://www.bing.com/financeapi/forcetrigger?t=apn8rw&amp;q=BVMF%3aRBRD11&amp;form=skydnc</v>
    <v>Learn more on Bing</v>
  </rv>
  <rv s="8">
    <v>18</v>
    <v>19</v>
    <v>FDO INV IMOB RB CAPITAL RENDA II CF (BVMF:RBRD11)</v>
    <v>20</v>
    <v>21</v>
    <v>Finance</v>
    <v>5</v>
    <v>pt-BR</v>
    <v>apn8rw</v>
    <v>268435456</v>
    <v>1</v>
    <v>Da plataforma Refinitiv</v>
    <v>87.24</v>
    <v>47.46</v>
    <v>BVMF</v>
    <v>63.7</v>
    <v>61.81</v>
    <v>B3 - Brazil Stock Exchange</v>
    <v>61.56</v>
    <v>44314.947928240741</v>
    <v>102</v>
    <v>BRL</v>
    <v>FDO INV IMOB RB CAPITAL RENDA II CF</v>
    <v>61.81</v>
    <v>62</v>
    <v>RBRD11</v>
    <v>Fundos mais negociados</v>
    <v>FDO INV IMOB RB CAPITAL RENDA II CF (BVMF:RBRD11)</v>
    <v>0.44</v>
    <v>7.1469999999999997E-3</v>
    <v>2239</v>
  </rv>
  <rv s="2">
    <v>103</v>
  </rv>
  <rv s="0">
    <v>https://www.bing.com/financeapi/forcetrigger?t=apnlim&amp;q=BVMF%3aWEGE3&amp;form=skydnc</v>
    <v>Learn more on Bing</v>
  </rv>
  <rv s="3">
    <v>6</v>
    <v>7</v>
    <v>WEG S.A. (BVMF:WEGE3)</v>
    <v>3</v>
    <v>8</v>
    <v>Finance</v>
    <v>5</v>
    <v>pt-BR</v>
    <v>apnlim</v>
    <v>268435456</v>
    <v>1</v>
    <v>Da plataforma Refinitiv</v>
    <v>46.7</v>
    <v>17.84</v>
    <v>BVMF</v>
    <v>2098659000</v>
    <v>38.9</v>
    <v>1961</v>
    <v>36.24</v>
    <v>0.53749999999999998</v>
    <v>B3 - Brazil Stock Exchange</v>
    <v>155342700000</v>
    <v>A WEG S.A. é uma holding brasileira que se dedica essencialmente à fabricação de equipamentos e componentes elétricos. A Empresa atua, juntamente com suas subsidiárias, na fabricação e comercialização de bens, como motores elétricos, geradores e transformadores; redutores, redutores engrenados, inversores de frequência, motores de arranque e dispositivos de manobra; controle e proteção de circuitos elétricos e automação industrial; soluções de tração elétrica (terrestre e marítima); soluções para geração de energia renovável e distribuída, explorando todas as oportunidades em pequenas usinas hidrelétricas e fontes de biomassa térmica, eólica e solar; no-breaks e alternadores para grupos de geradores; subestações elétricas; sistemas industriais de equipamentos elétricos e eletrônicos, e tintas e vernizes industriais. Atua no Brasil, Argentina, México, Estados Unidos, Portugal, Áustria, África do Sul, Índia, e China. Opera através da Bluffton Motor Works LLC.</v>
    <v>BVMF</v>
    <v>37.01</v>
    <v>33342</v>
    <v>44314.947916666664</v>
    <v>105</v>
    <v>BRL</v>
    <v>WEG S.A.</v>
    <v>WEG S.A.</v>
    <v>38.1</v>
    <v>36.5</v>
    <v>Av. Prefeito Waldemar Grubba,3300, Centro, JARAGUA DO SUL, SANTA CATARINA, 89.256-900 BR</v>
    <v>Machinery, Equipment &amp; Components</v>
    <v>WEGE3</v>
    <v>Ações</v>
    <v>WEG S.A. (BVMF:WEGE3)</v>
    <v>-0.51</v>
    <v>-1.3779999999999999E-2</v>
    <v>15310500</v>
  </rv>
  <rv s="2">
    <v>106</v>
  </rv>
</rvData>
</file>

<file path=xl/richData/rdrichvaluestructure.xml><?xml version="1.0" encoding="utf-8"?>
<rvStructures xmlns="http://schemas.microsoft.com/office/spreadsheetml/2017/richdata" count="12">
  <s t="_hyperlink">
    <k n="Address" t="s"/>
    <k n="Text" t="s"/>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ções em circulação"/>
    <k n="Alto"/>
    <k n="Ano de incorporação"/>
    <k n="Baixo"/>
    <k n="Bolsa" t="s"/>
    <k n="Capitalização de mercado"/>
    <k n="Descrição" t="s"/>
    <k n="ExchangeID" t="s"/>
    <k n="Fechamento anterior"/>
    <k n="Funcionários"/>
    <k n="Hora da última transação"/>
    <k n="LearnMoreOnLink" t="r"/>
    <k n="Moeda" t="s"/>
    <k n="Nome" t="s"/>
    <k n="Nome oficial" t="s"/>
    <k n="Pendência"/>
    <k n="Preço"/>
    <k n="Sede" t="s"/>
    <k n="Setor" t="s"/>
    <k n="Símbolo do ticker" t="s"/>
    <k n="Tipo de instrumento" t="s"/>
    <k n="UniqueName" t="s"/>
    <k n="Variação"/>
    <k n="Variação (%)"/>
    <k n="Volume"/>
  </s>
  <s t="_linkedentity">
    <k n="%cvi" t="r"/>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oeda" t="s"/>
    <k n="Nome" t="s"/>
    <k n="Nome oficial" t="s"/>
    <k n="Pendência"/>
    <k n="Preço"/>
    <k n="Sede" t="s"/>
    <k n="Setor" t="s"/>
    <k n="Símbolo do ticker" t="s"/>
    <k n="Tipo de instrumento" t="s"/>
    <k n="UniqueName" t="s"/>
    <k n="Variação"/>
    <k n="Variação (%)"/>
    <k n="Volume"/>
  </s>
  <s t="_sourceattribution">
    <k n="License" t="r"/>
    <k n="Source" t="r"/>
  </s>
  <s t="_imageurl">
    <k n="_Provider" t="spb"/>
    <k n="Address" t="s"/>
    <k n="Attribution" t="r"/>
    <k n="ComputedImage" t="b"/>
    <k n="More Images Address" t="s"/>
    <k n="Text" t="s"/>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oeda" t="s"/>
    <k n="Nome" t="s"/>
    <k n="Nome oficial" t="s"/>
    <k n="Pendência"/>
    <k n="Preço"/>
    <k n="Sede" t="s"/>
    <k n="Setor" t="s"/>
    <k n="Símbolo do ticker" t="s"/>
    <k n="Tipo de instrumento" t="s"/>
    <k n="UniqueName" t="s"/>
    <k n="Variação"/>
    <k n="Variação (%)"/>
    <k n="Volume"/>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ções em circulação"/>
    <k n="Alto"/>
    <k n="Baixo"/>
    <k n="Bolsa" t="s"/>
    <k n="Capitalização de mercado"/>
    <k n="Descrição" t="s"/>
    <k n="ExchangeID" t="s"/>
    <k n="Fechamento anterior"/>
    <k n="Hora da última transação"/>
    <k n="LearnMoreOnLink" t="r"/>
    <k n="Moeda" t="s"/>
    <k n="Nome" t="s"/>
    <k n="Nome oficial" t="s"/>
    <k n="Pendência"/>
    <k n="Preço"/>
    <k n="Sede" t="s"/>
    <k n="Setor" t="s"/>
    <k n="Símbolo do ticker" t="s"/>
    <k n="Tipo de instrumento" t="s"/>
    <k n="UniqueName" t="s"/>
    <k n="Variação"/>
    <k n="Variação (%)"/>
    <k n="Volume"/>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lto"/>
    <k n="Baixo"/>
    <k n="Bolsa" t="s"/>
    <k n="Fechamento anterior"/>
    <k n="Hora da última transação"/>
    <k n="LearnMoreOnLink" t="r"/>
    <k n="Moeda" t="s"/>
    <k n="Nome" t="s"/>
    <k n="Pendência"/>
    <k n="Preço"/>
    <k n="Símbolo do ticker" t="s"/>
    <k n="Tipo de instrumento" t="s"/>
    <k n="UniqueName" t="s"/>
    <k n="Variação"/>
    <k n="Variação (%)"/>
    <k n="Volume"/>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Sede" t="s"/>
    <k n="Setor" t="s"/>
    <k n="Símbolo do ticker" t="s"/>
    <k n="Tipo de instrumento" t="s"/>
    <k n="UniqueName" t="s"/>
    <k n="Variação"/>
    <k n="Variação (%)"/>
    <k n="Volume"/>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lto"/>
    <k n="Baixo"/>
    <k n="Da moeda" t="s"/>
    <k n="Fechamento anterior"/>
    <k n="Hora da última transação"/>
    <k n="Moeda" t="s"/>
    <k n="Nome" t="s"/>
    <k n="Pendência"/>
    <k n="Preço"/>
    <k n="Símbolo do ticker" t="s"/>
    <k n="Tipo de instrumento" t="s"/>
    <k n="UniqueName" t="s"/>
    <k n="Variação"/>
    <k n="Variação (%)"/>
  </s>
  <s t="_linkedentitycore">
    <k n="_CanonicalPropertyNames" t="spb"/>
    <k n="_Display" t="spb"/>
    <k n="_DisplayString" t="s"/>
    <k n="_Flags" t="spb"/>
    <k n="_Format" t="spb"/>
    <k n="_Icon" t="s"/>
    <k n="_SubLabel" t="spb"/>
    <k n="%EntityCulture" t="s"/>
    <k n="%EntityId" t="s"/>
    <k n="%EntityServiceId"/>
    <k n="%IsRefreshable" t="b"/>
    <k n="%ProviderInfo" t="s"/>
    <k n="52 semanas de alta"/>
    <k n="52 semanas de baixa"/>
    <k n="Abreviatura do câmbio" t="s"/>
    <k n="Ações em circulação"/>
    <k n="Alto"/>
    <k n="Ano de incorporação"/>
    <k n="Baixo"/>
    <k n="Beta"/>
    <k n="Bolsa" t="s"/>
    <k n="Capitalização de mercado"/>
    <k n="Descrição" t="s"/>
    <k n="ExchangeID" t="s"/>
    <k n="Fechamento anterior"/>
    <k n="Hora da última transação"/>
    <k n="LearnMoreOnLink" t="r"/>
    <k n="Moeda" t="s"/>
    <k n="Nome" t="s"/>
    <k n="Nome oficial" t="s"/>
    <k n="Pendência"/>
    <k n="Preç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8">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Ações em circulação</v>
      <v t="s">Descrição</v>
      <v t="s">Funcionários</v>
      <v t="s">Sede</v>
      <v t="s">Setor</v>
      <v t="s">Tipo de instrumento</v>
      <v t="s">Ano de incorporação</v>
      <v t="s">_Flags</v>
      <v t="s">UniqueName</v>
      <v t="s">_DisplayString</v>
      <v t="s">LearnMoreOnLink</v>
      <v t="s">Imagem</v>
      <v t="s">ExchangeID</v>
      <v t="s">%ProviderInfo</v>
    </a>
    <a count="38">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Ações em circulação</v>
      <v t="s">Descrição</v>
      <v t="s">Sede</v>
      <v t="s">Setor</v>
      <v t="s">Tipo de instrumento</v>
      <v t="s">_Flags</v>
      <v t="s">UniqueName</v>
      <v t="s">_DisplayString</v>
      <v t="s">LearnMoreOnLink</v>
      <v t="s">ExchangeID</v>
      <v t="s">%ProviderInfo</v>
    </a>
    <a count="31">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Tipo de instrumento</v>
      <v t="s">_Flags</v>
      <v t="s">UniqueName</v>
      <v t="s">_DisplayString</v>
      <v t="s">LearnMoreOnLink</v>
      <v t="s">%ProviderInfo</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a count="28">
      <v t="s">%EntityServiceId</v>
      <v t="s">_Format</v>
      <v t="s">%IsRefreshable</v>
      <v t="s">_CanonicalPropertyNames</v>
      <v t="s">%EntityCulture</v>
      <v t="s">%EntityId</v>
      <v t="s">_Icon</v>
      <v t="s">_Display</v>
      <v t="s">Nome</v>
      <v t="s">Preço</v>
      <v t="s">_SubLabel</v>
      <v t="s">Hora da última transação</v>
      <v t="s">Símbolo do ticker</v>
      <v t="s">Variação</v>
      <v t="s">Variação (%)</v>
      <v t="s">Moeda</v>
      <v t="s">Da moeda</v>
      <v t="s">Fechamento anterior</v>
      <v t="s">Pendência</v>
      <v t="s">Alto</v>
      <v t="s">Baixo</v>
      <v t="s">52 semanas de alta</v>
      <v t="s">52 semanas de baixa</v>
      <v t="s">Tipo de instrumento</v>
      <v t="s">_Flags</v>
      <v t="s">UniqueName</v>
      <v t="s">_DisplayString</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Ações em circulação</v>
      <v t="s">Descrição</v>
      <v t="s">Sede</v>
      <v t="s">Setor</v>
      <v t="s">Tipo de instrumento</v>
      <v t="s">Ano de incorporação</v>
      <v t="s">_Flags</v>
      <v t="s">UniqueName</v>
      <v t="s">_DisplayString</v>
      <v t="s">LearnMoreOnLink</v>
      <v t="s">ExchangeID</v>
      <v t="s">%ProviderInfo</v>
    </a>
  </spbArrays>
  <spbData count="35">
    <spb s="0">
      <v>High</v>
      <v>Name</v>
      <v>Headquarters</v>
      <v>Low</v>
      <v>Exchange</v>
      <v>Currency</v>
      <v>Price</v>
      <v>Industry</v>
      <v>Volume</v>
      <v>Change</v>
      <v>Description</v>
      <v>Open</v>
      <v>ExchangeID</v>
      <v>UniqueName</v>
      <v>Employees</v>
      <v>Official name</v>
      <v>Change (%)</v>
      <v>%ProviderInfo</v>
      <v>LearnMoreOnLink</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1</v>
      <v>3</v>
      <v>1</v>
      <v>1</v>
      <v>3</v>
      <v>4</v>
      <v>5</v>
      <v>6</v>
      <v>1</v>
      <v>1</v>
      <v>7</v>
      <v>3</v>
      <v>1</v>
      <v>8</v>
      <v>9</v>
    </spb>
    <spb s="5">
      <v>Atraso de 30 minutos</v>
      <v xml:space="preserve">do fechamento anterior </v>
      <v xml:space="preserve">do fechamento anterior </v>
      <v>GMT</v>
    </spb>
    <spb s="6">
      <v>High</v>
      <v>Beta</v>
      <v>Name</v>
      <v>Headquarters</v>
      <v>Low</v>
      <v>Exchange</v>
      <v>Currency</v>
      <v>Price</v>
      <v>Industry</v>
      <v>Volume</v>
      <v>Change</v>
      <v>Description</v>
      <v>Open</v>
      <v>ExchangeID</v>
      <v>UniqueName</v>
      <v>Employees</v>
      <v>Official name</v>
      <v>Change (%)</v>
      <v>%ProviderInfo</v>
      <v>LearnMoreOnLink</v>
      <v>Ticker symbol</v>
      <v>52 week high</v>
      <v>52 week low</v>
      <v>Year incorporated</v>
      <v>Shares outstanding</v>
      <v>Previous close</v>
      <v>Instrument type</v>
      <v>Exchange abbreviation</v>
      <v>Market cap</v>
      <v>Last trade time</v>
    </spb>
    <spb s="1">
      <v>1</v>
      <v>Name</v>
      <v>LearnMoreOnLink</v>
    </spb>
    <spb s="7">
      <v>1</v>
      <v>10</v>
      <v>2</v>
      <v>1</v>
      <v>1</v>
      <v>3</v>
      <v>1</v>
      <v>1</v>
      <v>3</v>
      <v>4</v>
      <v>5</v>
      <v>6</v>
      <v>1</v>
      <v>1</v>
      <v>7</v>
      <v>3</v>
      <v>1</v>
      <v>8</v>
      <v>9</v>
    </spb>
    <spb s="8">
      <v>High</v>
      <v>Beta</v>
      <v>Name</v>
      <v>Headquarters</v>
      <v>Low</v>
      <v>Exchange</v>
      <v>Currency</v>
      <v>Price</v>
      <v>Industry</v>
      <v>Image</v>
      <v>Volume</v>
      <v>Change</v>
      <v>Description</v>
      <v>Open</v>
      <v>ExchangeID</v>
      <v>UniqueName</v>
      <v>Employees</v>
      <v>Official name</v>
      <v>Change (%)</v>
      <v>%ProviderInfo</v>
      <v>LearnMoreOnLink</v>
      <v>Ticker symbol</v>
      <v>52 week high</v>
      <v>52 week low</v>
      <v>Year incorporated</v>
      <v>Shares outstanding</v>
      <v>Previous close</v>
      <v>Instrument type</v>
      <v>Exchange abbreviation</v>
      <v>Market cap</v>
      <v>Last trade time</v>
    </spb>
    <spb s="1">
      <v>2</v>
      <v>Name</v>
      <v>LearnMoreOnLink</v>
    </spb>
    <spb s="9">
      <v>0</v>
      <v>0</v>
    </spb>
    <spb s="10">
      <v>11</v>
      <v>2</v>
      <v>2</v>
      <v>2</v>
      <v>2</v>
    </spb>
    <spb s="11">
      <v>1</v>
      <v>10</v>
      <v>2</v>
      <v>1</v>
      <v>1</v>
      <v>11</v>
      <v>3</v>
      <v>1</v>
      <v>1</v>
      <v>3</v>
      <v>4</v>
      <v>5</v>
      <v>6</v>
      <v>1</v>
      <v>1</v>
      <v>7</v>
      <v>3</v>
      <v>1</v>
      <v>8</v>
      <v>9</v>
    </spb>
    <spb s="12">
      <v>Da plataforma Refinitiv</v>
    </spb>
    <spb s="13">
      <v>High</v>
      <v>Name</v>
      <v>Headquarters</v>
      <v>Low</v>
      <v>Exchange</v>
      <v>Currency</v>
      <v>Price</v>
      <v>Industry</v>
      <v>Volume</v>
      <v>Change</v>
      <v>Description</v>
      <v>Open</v>
      <v>ExchangeID</v>
      <v>UniqueName</v>
      <v>Official name</v>
      <v>Change (%)</v>
      <v>%ProviderInfo</v>
      <v>LearnMoreOnLink</v>
      <v>Ticker symbol</v>
      <v>52 week high</v>
      <v>52 week low</v>
      <v>Shares outstanding</v>
      <v>Previous close</v>
      <v>Instrument type</v>
      <v>Exchange abbreviation</v>
      <v>Market cap</v>
      <v>Last trade time</v>
    </spb>
    <spb s="1">
      <v>3</v>
      <v>Name</v>
      <v>LearnMoreOnLink</v>
    </spb>
    <spb s="14">
      <v>1</v>
      <v>2</v>
      <v>1</v>
      <v>1</v>
      <v>3</v>
      <v>1</v>
      <v>1</v>
      <v>4</v>
      <v>5</v>
      <v>6</v>
      <v>1</v>
      <v>1</v>
      <v>3</v>
      <v>1</v>
      <v>8</v>
      <v>9</v>
    </spb>
    <spb s="15">
      <v>High</v>
      <v>Name</v>
      <v>Low</v>
      <v>Exchange</v>
      <v>Currency</v>
      <v>Price</v>
      <v>Volume</v>
      <v>Change</v>
      <v>Open</v>
      <v>UniqueName</v>
      <v>Change (%)</v>
      <v>%ProviderInfo</v>
      <v>LearnMoreOnLink</v>
      <v>Ticker symbol</v>
      <v>52 week high</v>
      <v>52 week low</v>
      <v>Previous close</v>
      <v>Instrument type</v>
      <v>Exchange abbreviation</v>
      <v>Last trade time</v>
    </spb>
    <spb s="1">
      <v>4</v>
      <v>Name</v>
      <v>LearnMoreOnLink</v>
    </spb>
    <spb s="16">
      <v>2</v>
      <v>2</v>
      <v>2</v>
    </spb>
    <spb s="17">
      <v>1</v>
      <v>2</v>
      <v>1</v>
      <v>1</v>
      <v>3</v>
      <v>1</v>
      <v>1</v>
      <v>4</v>
      <v>5</v>
      <v>6</v>
      <v>1</v>
      <v>1</v>
      <v>1</v>
      <v>9</v>
    </spb>
    <spb s="18">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5</v>
      <v>Name</v>
      <v>LearnMoreOnLink</v>
    </spb>
    <spb s="19">
      <v>10</v>
      <v>12</v>
      <v>10</v>
      <v>2</v>
      <v>12</v>
      <v>12</v>
      <v>11</v>
      <v>3</v>
      <v>12</v>
      <v>12</v>
      <v>3</v>
      <v>4</v>
      <v>3</v>
      <v>5</v>
      <v>6</v>
      <v>12</v>
      <v>12</v>
      <v>7</v>
      <v>3</v>
      <v>12</v>
      <v>13</v>
      <v>9</v>
    </spb>
    <spb s="20">
      <v>Tempo Real Nasdaq Última venda</v>
      <v xml:space="preserve">do fechamento anterior </v>
      <v>Origem : Nasdaq Última venda</v>
      <v xml:space="preserve">do fechamento anterior </v>
      <v>GMT</v>
    </spb>
    <spb s="20">
      <v>Atraso de 15 minutos</v>
      <v xml:space="preserve">do fechamento anterior </v>
      <v>Origem : Nasdaq</v>
      <v xml:space="preserve">do fechamento anterior </v>
      <v>GMT</v>
    </spb>
    <spb s="21">
      <v>High</v>
      <v>Name</v>
      <v>Low</v>
      <v>Currency</v>
      <v>Price</v>
      <v>From currency</v>
      <v>Change</v>
      <v>Open</v>
      <v>UniqueName</v>
      <v>Change (%)</v>
      <v>%ProviderInfo</v>
      <v>Ticker symbol</v>
      <v>52 week high</v>
      <v>52 week low</v>
      <v>Previous close</v>
      <v>Instrument type</v>
      <v>Last trade time</v>
    </spb>
    <spb s="22">
      <v>6</v>
      <v>Name</v>
    </spb>
    <spb s="23">
      <v>2</v>
      <v>2</v>
    </spb>
    <spb s="24">
      <v>12</v>
      <v>2</v>
      <v>12</v>
      <v>12</v>
      <v>12</v>
      <v>12</v>
      <v>4</v>
      <v>5</v>
      <v>6</v>
      <v>12</v>
      <v>12</v>
      <v>12</v>
      <v>9</v>
    </spb>
    <spb s="25">
      <v>GMT</v>
    </spb>
    <spb s="26">
      <v>High</v>
      <v>Beta</v>
      <v>Name</v>
      <v>Headquarters</v>
      <v>Low</v>
      <v>Exchange</v>
      <v>Currency</v>
      <v>Price</v>
      <v>Industry</v>
      <v>Volume</v>
      <v>Change</v>
      <v>Description</v>
      <v>Open</v>
      <v>ExchangeID</v>
      <v>UniqueName</v>
      <v>Official name</v>
      <v>Change (%)</v>
      <v>%ProviderInfo</v>
      <v>LearnMoreOnLink</v>
      <v>Ticker symbol</v>
      <v>52 week high</v>
      <v>52 week low</v>
      <v>Year incorporated</v>
      <v>Shares outstanding</v>
      <v>Previous close</v>
      <v>Instrument type</v>
      <v>Exchange abbreviation</v>
      <v>Market cap</v>
      <v>Last trade time</v>
    </spb>
    <spb s="1">
      <v>7</v>
      <v>Name</v>
      <v>LearnMoreOnLink</v>
    </spb>
    <spb s="27">
      <v>1</v>
      <v>10</v>
      <v>2</v>
      <v>1</v>
      <v>1</v>
      <v>3</v>
      <v>1</v>
      <v>1</v>
      <v>4</v>
      <v>5</v>
      <v>6</v>
      <v>1</v>
      <v>1</v>
      <v>7</v>
      <v>3</v>
      <v>1</v>
      <v>8</v>
      <v>9</v>
    </spb>
  </spbData>
</supportingPropertyBags>
</file>

<file path=xl/richData/rdsupportingpropertybagstructure.xml><?xml version="1.0" encoding="utf-8"?>
<spbStructures xmlns="http://schemas.microsoft.com/office/spreadsheetml/2017/richdata2" count="28">
  <s>
    <k n="Alto"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Alto" t="i"/>
    <k n="Nome" t="i"/>
    <k n="Baixo" t="i"/>
    <k n="Preço" t="i"/>
    <k n="Volume" t="i"/>
    <k n="Variação" t="i"/>
    <k n="Pendência" t="i"/>
    <k n="Funcionários" t="i"/>
    <k n="Variação (%)" t="i"/>
    <k n="`_DisplayString"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_DisplayString"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ShowInDotNotation" t="b"/>
    <k n="ShowInAutoComplete" t="b"/>
  </s>
  <s>
    <k n="Imagem" t="spb"/>
    <k n="ExchangeID" t="spb"/>
    <k n="UniqueName" t="spb"/>
    <k n="%ProviderInfo" t="spb"/>
    <k n="LearnMoreOnLink" t="spb"/>
  </s>
  <s>
    <k n="Alto" t="i"/>
    <k n="Beta" t="i"/>
    <k n="Nome" t="i"/>
    <k n="Baixo" t="i"/>
    <k n="Preço" t="i"/>
    <k n="Imagem" t="i"/>
    <k n="Volume" t="i"/>
    <k n="Variação" t="i"/>
    <k n="Pendência" t="i"/>
    <k n="Funcionários" t="i"/>
    <k n="Variação (%)" t="i"/>
    <k n="`_DisplayString" t="i"/>
    <k n="`%EntityServiceId" t="i"/>
    <k n="52 semanas de alta" t="i"/>
    <k n="52 semanas de baixa" t="i"/>
    <k n="Ano de incorporação" t="i"/>
    <k n="Ações em circulação" t="i"/>
    <k n="Fechamento anterior" t="i"/>
    <k n="Capitalização de mercado" t="i"/>
    <k n="Hora da última transação" t="i"/>
  </s>
  <s>
    <k n="name" t="s"/>
  </s>
  <s>
    <k n="Alto" t="s"/>
    <k n="Nome" t="s"/>
    <k n="Sede" t="s"/>
    <k n="Baixo" t="s"/>
    <k n="Bolsa" t="s"/>
    <k n="Moeda" t="s"/>
    <k n="Preço" t="s"/>
    <k n="Setor" t="s"/>
    <k n="Volume" t="s"/>
    <k n="Variação" t="s"/>
    <k n="Descrição" t="s"/>
    <k n="Pendência" t="s"/>
    <k n="ExchangeID" t="s"/>
    <k n="UniqueName" t="s"/>
    <k n="Nome oficial" t="s"/>
    <k n="Variação (%)" t="s"/>
    <k n="%ProviderInfo" t="s"/>
    <k n="LearnMoreOnLink" t="s"/>
    <k n="Símbolo do ticker" t="s"/>
    <k n="52 semanas de alta" t="s"/>
    <k n="52 semanas de baixa" t="s"/>
    <k n="Ações em circulação" t="s"/>
    <k n="Fechamento anterior" t="s"/>
    <k n="Tipo de instrumento" t="s"/>
    <k n="Abreviatura do câmbio" t="s"/>
    <k n="Capitalização de mercado" t="s"/>
    <k n="Hora da última transação" t="s"/>
  </s>
  <s>
    <k n="Alto" t="i"/>
    <k n="Nome" t="i"/>
    <k n="Baixo" t="i"/>
    <k n="Preço" t="i"/>
    <k n="Volume" t="i"/>
    <k n="Variação" t="i"/>
    <k n="Pendência" t="i"/>
    <k n="Variação (%)" t="i"/>
    <k n="`_DisplayString" t="i"/>
    <k n="`%EntityServiceId" t="i"/>
    <k n="52 semanas de alta" t="i"/>
    <k n="52 semanas de baixa" t="i"/>
    <k n="Ações em circulação" t="i"/>
    <k n="Fechamento anterior" t="i"/>
    <k n="Capitalização de mercado" t="i"/>
    <k n="Hora da última transação" t="i"/>
  </s>
  <s>
    <k n="Alto" t="s"/>
    <k n="Nome" t="s"/>
    <k n="Baixo" t="s"/>
    <k n="Bolsa" t="s"/>
    <k n="Moeda" t="s"/>
    <k n="Preço" t="s"/>
    <k n="Volume" t="s"/>
    <k n="Variação" t="s"/>
    <k n="Pendência" t="s"/>
    <k n="UniqueName" t="s"/>
    <k n="Variação (%)" t="s"/>
    <k n="%ProviderInfo" t="s"/>
    <k n="LearnMoreOnLink" t="s"/>
    <k n="Símbolo do ticker" t="s"/>
    <k n="52 semanas de alta" t="s"/>
    <k n="52 semanas de baixa" t="s"/>
    <k n="Fechamento anterior" t="s"/>
    <k n="Tipo de instrumento" t="s"/>
    <k n="Abreviatura do câmbio" t="s"/>
    <k n="Hora da última transação" t="s"/>
  </s>
  <s>
    <k n="UniqueName" t="spb"/>
    <k n="%ProviderInfo" t="spb"/>
    <k n="LearnMoreOnLink" t="spb"/>
  </s>
  <s>
    <k n="Alto" t="i"/>
    <k n="Nome" t="i"/>
    <k n="Baixo" t="i"/>
    <k n="Preço" t="i"/>
    <k n="Volume" t="i"/>
    <k n="Variação" t="i"/>
    <k n="Pendência" t="i"/>
    <k n="Variação (%)" t="i"/>
    <k n="`_DisplayString" t="i"/>
    <k n="`%EntityServiceId" t="i"/>
    <k n="52 semanas de alta" t="i"/>
    <k n="52 semanas de baixa" t="i"/>
    <k n="Fechamento anterior" t="i"/>
    <k n="Hora da última transação" t="i"/>
  </s>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Imagem" t="i"/>
    <k n="Volume" t="i"/>
    <k n="Variação" t="i"/>
    <k n="Pendência" t="i"/>
    <k n="Funcionários" t="i"/>
    <k n="Variação (%)" t="i"/>
    <k n="Média de volume" t="i"/>
    <k n="`_DisplayString"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Alto" t="s"/>
    <k n="Nome" t="s"/>
    <k n="Baixo" t="s"/>
    <k n="Moeda" t="s"/>
    <k n="Preço" t="s"/>
    <k n="Da moeda" t="s"/>
    <k n="Variação" t="s"/>
    <k n="Pendência" t="s"/>
    <k n="UniqueName" t="s"/>
    <k n="Variação (%)" t="s"/>
    <k n="%ProviderInfo" t="s"/>
    <k n="Símbolo do ticker" t="s"/>
    <k n="52 semanas de alta" t="s"/>
    <k n="52 semanas de baixa" t="s"/>
    <k n="Fechamento anterior" t="s"/>
    <k n="Tipo de instrumento" t="s"/>
    <k n="Hora da última transação" t="s"/>
  </s>
  <s>
    <k n="^Order" t="spba"/>
    <k n="TitleProperty" t="s"/>
  </s>
  <s>
    <k n="UniqueName" t="spb"/>
    <k n="%ProviderInfo" t="spb"/>
  </s>
  <s>
    <k n="Alto" t="i"/>
    <k n="Nome" t="i"/>
    <k n="Baixo" t="i"/>
    <k n="Preço" t="i"/>
    <k n="Variação" t="i"/>
    <k n="Pendência" t="i"/>
    <k n="Variação (%)" t="i"/>
    <k n="`_DisplayString" t="i"/>
    <k n="`%EntityServiceId" t="i"/>
    <k n="52 semanas de alta" t="i"/>
    <k n="52 semanas de baixa" t="i"/>
    <k n="Fechamento anterior" t="i"/>
    <k n="Hora da última transação" t="i"/>
  </s>
  <s>
    <k n="Hora da última transação" t="s"/>
  </s>
  <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_DisplayString" t="i"/>
    <k n="`%EntityServiceId" t="i"/>
    <k n="52 semanas de alta" t="i"/>
    <k n="52 semanas de baixa" t="i"/>
    <k n="Ano de incorporação" t="i"/>
    <k n="Ações em circulação" t="i"/>
    <k n="Fechamento anterior" t="i"/>
    <k n="Capitalização de mercado" t="i"/>
    <k n="Hora da última transação"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0">
    <x:dxf>
      <x:numFmt numFmtId="167" formatCode="_-[$R$-416]\ * #,##0.00_-;\-[$R$-416]\ * #,##0.00_-;_-[$R$-416]\ * &quot;-&quot;??_-;_-@_-"/>
    </x:dxf>
    <x:dxf>
      <x:numFmt numFmtId="3" formatCode="#,##0"/>
    </x:dxf>
    <x:dxf>
      <x:numFmt numFmtId="14" formatCode="0.00%"/>
    </x:dxf>
    <x:dxf>
      <x:numFmt numFmtId="2" formatCode="0.00"/>
    </x:dxf>
    <x:dxf>
      <x:numFmt numFmtId="1" formatCode="0"/>
    </x:dxf>
    <x:dxf>
      <x:numFmt numFmtId="166" formatCode="_-[$R$-416]\ * #,##0_-;\-[$R$-416]\ * #,##0_-;_-[$R$-416]\ * &quot;-&quot;_-;_-@_-"/>
    </x:dxf>
    <x:dxf>
      <x:numFmt numFmtId="27" formatCode="dd/mm/yyyy\ hh:mm"/>
    </x:dxf>
    <x:dxf>
      <x:numFmt numFmtId="4" formatCode="#,##0.00"/>
    </x:dxf>
    <x:dxf>
      <x:numFmt numFmtId="165" formatCode="_([$$-409]* #,##0.00_);_([$$-409]* \(#,##0.00\);_([$$-409]* &quot;-&quot;??_);_(@_)"/>
    </x:dxf>
    <x:dxf>
      <x:numFmt numFmtId="164" formatCode="_([$$-409]* #,##0_);_([$$-409]* \(#,##0\);_([$$-409]* &quot;-&quot;_);_(@_)"/>
    </x:dxf>
  </dxfs>
  <richProperties>
    <rPr n="IsTitleField" t="b"/>
    <rPr n="ShouldShowInCell" t="b"/>
    <rPr n="IsHeroField" t="b"/>
  </richProperties>
  <richStyles>
    <rSty dxfid="0"/>
    <rSty>
      <rpv i="0">1</rpv>
    </rSty>
    <rSty dxfid="1"/>
    <rSty dxfid="2"/>
    <rSty>
      <rpv i="1">1</rpv>
    </rSty>
    <rSty dxfid="3"/>
    <rSty dxfid="4"/>
    <rSty dxfid="5"/>
    <rSty dxfid="6"/>
    <rSty dxfid="7"/>
    <rSty>
      <rpv i="2">1</rpv>
    </rSty>
    <rSty dxfid="8"/>
    <rSty dxfid="9"/>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B1C4FA-824B-4555-B358-7A4645E5C578}" name="Table_0" displayName="Table_0" ref="A1:G38" tableType="queryTable" totalsRowShown="0">
  <autoFilter ref="A1:G38" xr:uid="{BEFB5122-B84C-4635-AB4C-A7980CD3B3EA}"/>
  <tableColumns count="7">
    <tableColumn id="1" xr3:uid="{871E402A-5C24-49E3-89A1-038394F7CA65}" uniqueName="1" name="Símbolo" queryTableFieldId="1" dataDxfId="8"/>
    <tableColumn id="2" xr3:uid="{4689E7A5-93AF-4FAC-9DAB-AB2881DB902D}" uniqueName="2" name="Nome" queryTableFieldId="2" dataDxfId="7"/>
    <tableColumn id="3" xr3:uid="{42CE1077-9519-4DE8-8A99-0448BCE33382}" uniqueName="3" name="Último Preço" queryTableFieldId="3"/>
    <tableColumn id="4" xr3:uid="{05171F29-3EEF-41E4-9A0E-595F1BD0B29D}" uniqueName="4" name="Alterar" queryTableFieldId="4"/>
    <tableColumn id="5" xr3:uid="{7D45505A-0389-4259-937C-540765B8E66D}" uniqueName="5" name="% Alteração" queryTableFieldId="5"/>
    <tableColumn id="6" xr3:uid="{95002718-5303-4895-9495-DFDC90F8CD9A}" uniqueName="6" name="Variação de 52 semanas" queryTableFieldId="6" dataDxfId="6"/>
    <tableColumn id="7" xr3:uid="{C791B61E-426E-48C7-8FC9-4C7066F3FA34}" uniqueName="7" name="Gráfico Diário" queryTableFieldId="7"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32980E-9647-4CD3-AFF9-BE76E0110ABF}" name="Table_0__2" displayName="Table_0__2" ref="A1:J101" tableType="queryTable" totalsRowShown="0">
  <autoFilter ref="A1:J101" xr:uid="{EF0A7ACD-D544-415F-8A4F-3588BF3C75AB}"/>
  <tableColumns count="10">
    <tableColumn id="1" xr3:uid="{36E0F423-6C4C-4857-A450-18BC869DD723}" uniqueName="1" name="#" queryTableFieldId="1"/>
    <tableColumn id="2" xr3:uid="{7AB0DB67-0EAD-425B-9FF3-78ABED2A9211}" uniqueName="2" name="Column1" queryTableFieldId="2" dataDxfId="4"/>
    <tableColumn id="3" xr3:uid="{FB1BC534-C276-4642-8955-81364868C965}" uniqueName="3" name="Nome" queryTableFieldId="3" dataDxfId="3"/>
    <tableColumn id="4" xr3:uid="{C7810402-4746-42C6-A509-FB595040C676}" uniqueName="4" name="Código" queryTableFieldId="4" dataDxfId="2"/>
    <tableColumn id="5" xr3:uid="{4E6E1AF9-7ACF-4D9E-9EE7-8187FC5523DF}" uniqueName="5" name="Preço (USD)" queryTableFieldId="5"/>
    <tableColumn id="6" xr3:uid="{E17D2E77-BFBF-4CAB-ABBE-9CFBB05E1E23}" uniqueName="6" name="Capitalização" queryTableFieldId="6" dataDxfId="1"/>
    <tableColumn id="7" xr3:uid="{2EA46665-1C23-4948-AF36-5FA147395959}" uniqueName="7" name="Vol. (24h)" queryTableFieldId="7" dataDxfId="0"/>
    <tableColumn id="8" xr3:uid="{EB15E853-3B8F-4F03-90C1-AF7DAAEFB644}" uniqueName="8" name="Vol. Total" queryTableFieldId="8"/>
    <tableColumn id="9" xr3:uid="{CC15C24D-1AF6-4E1C-A1DD-BD65112658DB}" uniqueName="9" name="Var (24h)" queryTableFieldId="9"/>
    <tableColumn id="10" xr3:uid="{138B9416-ED54-4D4C-9C74-7EE0EB4BF1D2}" uniqueName="10" name="Var (7d)" queryTableFieldId="1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F695-AFCD-41E3-8A92-97ABACF4E2CD}">
  <sheetPr>
    <pageSetUpPr fitToPage="1"/>
  </sheetPr>
  <dimension ref="A1:U64"/>
  <sheetViews>
    <sheetView tabSelected="1" topLeftCell="A21" workbookViewId="0">
      <selection activeCell="J36" sqref="J36"/>
    </sheetView>
  </sheetViews>
  <sheetFormatPr defaultColWidth="9.14453125" defaultRowHeight="13.5" x14ac:dyDescent="0.15"/>
  <cols>
    <col min="1" max="1" width="11.296875" style="2" customWidth="1"/>
    <col min="2" max="2" width="68.3359375" style="2" hidden="1" customWidth="1"/>
    <col min="3" max="3" width="9.4140625" style="2" bestFit="1" customWidth="1"/>
    <col min="4" max="4" width="14.125" style="2" bestFit="1" customWidth="1"/>
    <col min="5" max="5" width="14.125" style="2" customWidth="1"/>
    <col min="6" max="6" width="10.0859375" style="2" bestFit="1" customWidth="1"/>
    <col min="7" max="7" width="13.85546875" style="2" bestFit="1" customWidth="1"/>
    <col min="8" max="8" width="12.5078125" style="2" bestFit="1" customWidth="1"/>
    <col min="9" max="9" width="12.9140625" style="2" bestFit="1" customWidth="1"/>
    <col min="10" max="10" width="13.85546875" style="2" bestFit="1" customWidth="1"/>
    <col min="11" max="12" width="12.9140625" style="2" customWidth="1"/>
    <col min="13" max="13" width="13.85546875" style="8" customWidth="1"/>
    <col min="14" max="15" width="13.85546875" style="8" bestFit="1" customWidth="1"/>
    <col min="16" max="16" width="13.85546875" style="2" bestFit="1" customWidth="1"/>
    <col min="17" max="17" width="13.85546875" style="2" customWidth="1"/>
    <col min="18" max="18" width="13.85546875" style="2" bestFit="1" customWidth="1"/>
    <col min="19" max="19" width="14.9296875" style="2" bestFit="1" customWidth="1"/>
    <col min="20" max="20" width="13.85546875" style="2" bestFit="1" customWidth="1"/>
    <col min="21" max="21" width="13.85546875" style="2" customWidth="1"/>
    <col min="22" max="26" width="12.10546875" style="2" customWidth="1"/>
    <col min="27" max="27" width="12.10546875" style="2" bestFit="1" customWidth="1"/>
    <col min="28" max="28" width="12.10546875" style="2" customWidth="1"/>
    <col min="29" max="29" width="12.10546875" style="2" bestFit="1" customWidth="1"/>
    <col min="30" max="16384" width="9.14453125" style="2"/>
  </cols>
  <sheetData>
    <row r="1" spans="1:21" x14ac:dyDescent="0.15">
      <c r="A1" s="37" t="s">
        <v>7</v>
      </c>
      <c r="B1" s="37"/>
      <c r="C1" s="37"/>
      <c r="D1" s="37"/>
      <c r="E1" s="37"/>
      <c r="F1" s="37"/>
      <c r="G1" s="37"/>
      <c r="H1" s="37"/>
      <c r="I1" s="37"/>
      <c r="J1" s="37"/>
      <c r="M1" s="2"/>
      <c r="N1" s="2"/>
      <c r="O1" s="2"/>
    </row>
    <row r="2" spans="1:21" ht="15" x14ac:dyDescent="0.2">
      <c r="A2" s="10" t="s">
        <v>0</v>
      </c>
      <c r="B2" s="11" t="s">
        <v>2</v>
      </c>
      <c r="C2" s="11" t="s">
        <v>88</v>
      </c>
      <c r="D2" s="11" t="s">
        <v>3</v>
      </c>
      <c r="E2" s="11" t="s">
        <v>89</v>
      </c>
      <c r="F2" s="11" t="s">
        <v>91</v>
      </c>
      <c r="G2" s="10" t="s">
        <v>4</v>
      </c>
      <c r="H2" s="10" t="s">
        <v>5</v>
      </c>
      <c r="I2" s="10" t="s">
        <v>6</v>
      </c>
      <c r="J2" s="10" t="s">
        <v>90</v>
      </c>
      <c r="K2" s="4"/>
      <c r="L2" s="10" t="s">
        <v>299</v>
      </c>
      <c r="M2" s="11" t="s">
        <v>293</v>
      </c>
      <c r="N2" s="11" t="s">
        <v>294</v>
      </c>
      <c r="O2" s="11" t="s">
        <v>295</v>
      </c>
      <c r="P2" s="11" t="s">
        <v>296</v>
      </c>
      <c r="Q2" s="35" t="s">
        <v>301</v>
      </c>
      <c r="R2" s="11" t="s">
        <v>297</v>
      </c>
      <c r="S2" s="11" t="s">
        <v>1</v>
      </c>
      <c r="U2" s="3"/>
    </row>
    <row r="3" spans="1:21" x14ac:dyDescent="0.15">
      <c r="A3" s="12">
        <v>44306</v>
      </c>
      <c r="B3" s="13" t="e" vm="1">
        <v>#VALUE!</v>
      </c>
      <c r="C3" s="11" t="str" cm="1">
        <f t="array" ref="C3">_FV(B3,"Símbolo do ticker",TRUE)</f>
        <v>NEOE3</v>
      </c>
      <c r="D3" s="14">
        <f t="shared" ref="D3:D12" si="0">G3/$G$13</f>
        <v>0.10093352814951123</v>
      </c>
      <c r="E3" s="15" cm="1">
        <f t="array" ref="E3">_FV(B3,"Preço")</f>
        <v>16.510000000000002</v>
      </c>
      <c r="F3" s="21">
        <f>(E3-H3)/H3</f>
        <v>-3.0193236714974132E-3</v>
      </c>
      <c r="G3" s="16">
        <f>E3*I3</f>
        <v>330.20000000000005</v>
      </c>
      <c r="H3" s="16">
        <v>16.559999999999999</v>
      </c>
      <c r="I3" s="17">
        <v>20</v>
      </c>
      <c r="J3" s="18">
        <f>I3*H3</f>
        <v>331.2</v>
      </c>
      <c r="K3" s="7"/>
      <c r="L3" s="31" t="s">
        <v>90</v>
      </c>
      <c r="M3" s="32">
        <f>J13</f>
        <v>3252.5600000000004</v>
      </c>
      <c r="N3" s="32">
        <f>J23</f>
        <v>3244.1800000000003</v>
      </c>
      <c r="O3" s="31">
        <f>J36</f>
        <v>3028.7627209426887</v>
      </c>
      <c r="P3" s="31">
        <f>J48</f>
        <v>901.58</v>
      </c>
      <c r="Q3" s="32">
        <f>J64/2</f>
        <v>4151.8</v>
      </c>
      <c r="R3" s="31">
        <f>3250+1286.78</f>
        <v>4536.78</v>
      </c>
      <c r="S3" s="32">
        <f>SUM(M3:R3)</f>
        <v>19115.662720942688</v>
      </c>
      <c r="U3" s="5"/>
    </row>
    <row r="4" spans="1:21" x14ac:dyDescent="0.15">
      <c r="A4" s="12">
        <v>44306</v>
      </c>
      <c r="B4" s="13" t="e" vm="2">
        <v>#VALUE!</v>
      </c>
      <c r="C4" s="11" t="str" cm="1">
        <f t="array" ref="C4">_FV(B4,"Símbolo do ticker",TRUE)</f>
        <v>PNVL3</v>
      </c>
      <c r="D4" s="14">
        <f t="shared" si="0"/>
        <v>0.10216233730505644</v>
      </c>
      <c r="E4" s="15" cm="1">
        <f t="array" ref="E4">_FV(B4,"Preço")</f>
        <v>19.66</v>
      </c>
      <c r="F4" s="21">
        <f t="shared" ref="F4:F12" si="1">(E4-H4)/H4</f>
        <v>2.1829521829521921E-2</v>
      </c>
      <c r="G4" s="16">
        <f t="shared" ref="G4:G12" si="2">E4*I4</f>
        <v>334.22</v>
      </c>
      <c r="H4" s="16">
        <v>19.239999999999998</v>
      </c>
      <c r="I4" s="17">
        <v>17</v>
      </c>
      <c r="J4" s="18">
        <f t="shared" ref="J4:J12" si="3">I4*H4</f>
        <v>327.08</v>
      </c>
      <c r="K4" s="6"/>
      <c r="L4" s="33" t="s">
        <v>298</v>
      </c>
      <c r="M4" s="32">
        <f>G13</f>
        <v>3271.4600000000005</v>
      </c>
      <c r="N4" s="32">
        <f>G23</f>
        <v>3253.29</v>
      </c>
      <c r="O4" s="31">
        <f>G36</f>
        <v>3059.1075254418852</v>
      </c>
      <c r="P4" s="31">
        <f>G48</f>
        <v>977.52825865580928</v>
      </c>
      <c r="Q4" s="31">
        <f>G64/2</f>
        <v>4098.7300000000005</v>
      </c>
      <c r="R4" s="31">
        <f>3251.68+1288.83</f>
        <v>4540.51</v>
      </c>
      <c r="S4" s="32">
        <f>SUM(M4:R4)</f>
        <v>19200.625784097698</v>
      </c>
      <c r="U4" s="5"/>
    </row>
    <row r="5" spans="1:21" ht="15" x14ac:dyDescent="0.2">
      <c r="A5" s="12">
        <v>44306</v>
      </c>
      <c r="B5" s="13" t="e" vm="3">
        <v>#VALUE!</v>
      </c>
      <c r="C5" s="11" t="str" cm="1">
        <f t="array" ref="C5">_FV(B5,"Símbolo do ticker",TRUE)</f>
        <v>MYPK3</v>
      </c>
      <c r="D5" s="14">
        <f t="shared" si="0"/>
        <v>0.10285316036265153</v>
      </c>
      <c r="E5" s="15" cm="1">
        <f t="array" ref="E5">_FV(B5,"Preço")</f>
        <v>14.02</v>
      </c>
      <c r="F5" s="21">
        <f t="shared" si="1"/>
        <v>1.7416545718432527E-2</v>
      </c>
      <c r="G5" s="16">
        <f t="shared" si="2"/>
        <v>336.48</v>
      </c>
      <c r="H5" s="16">
        <v>13.78</v>
      </c>
      <c r="I5" s="17">
        <v>24</v>
      </c>
      <c r="J5" s="18">
        <f t="shared" si="3"/>
        <v>330.71999999999997</v>
      </c>
      <c r="K5" s="6"/>
      <c r="L5" s="11" t="s">
        <v>91</v>
      </c>
      <c r="M5" s="21">
        <f t="shared" ref="M5:S5" si="4">(M4-M3)/M3</f>
        <v>5.8108074870256319E-3</v>
      </c>
      <c r="N5" s="21">
        <f t="shared" si="4"/>
        <v>2.8081055921680277E-3</v>
      </c>
      <c r="O5" s="21">
        <f t="shared" si="4"/>
        <v>1.001887810140234E-2</v>
      </c>
      <c r="P5" s="21">
        <f t="shared" si="4"/>
        <v>8.423906769871696E-2</v>
      </c>
      <c r="Q5" s="21">
        <f t="shared" si="4"/>
        <v>-1.2782407630425287E-2</v>
      </c>
      <c r="R5" s="21">
        <f t="shared" si="4"/>
        <v>8.2216902737194074E-4</v>
      </c>
      <c r="S5" s="21">
        <f t="shared" si="4"/>
        <v>4.4446831059603426E-3</v>
      </c>
      <c r="U5" s="5"/>
    </row>
    <row r="6" spans="1:21" x14ac:dyDescent="0.15">
      <c r="A6" s="12">
        <v>44306</v>
      </c>
      <c r="B6" s="13" t="e" vm="4">
        <v>#VALUE!</v>
      </c>
      <c r="C6" s="11" t="str" cm="1">
        <f t="array" ref="C6">_FV(B6,"Símbolo do ticker",TRUE)</f>
        <v>MDIA3</v>
      </c>
      <c r="D6" s="14">
        <f t="shared" si="0"/>
        <v>9.0785154029087919E-2</v>
      </c>
      <c r="E6" s="15" cm="1">
        <f t="array" ref="E6">_FV(B6,"Preço")</f>
        <v>27</v>
      </c>
      <c r="F6" s="21">
        <f t="shared" si="1"/>
        <v>-5.7262569832402251E-2</v>
      </c>
      <c r="G6" s="16">
        <f t="shared" si="2"/>
        <v>297</v>
      </c>
      <c r="H6" s="16">
        <v>28.64</v>
      </c>
      <c r="I6" s="17">
        <v>11</v>
      </c>
      <c r="J6" s="18">
        <f t="shared" si="3"/>
        <v>315.04000000000002</v>
      </c>
      <c r="K6" s="6"/>
      <c r="L6" s="11" t="s">
        <v>300</v>
      </c>
      <c r="M6" s="34">
        <f t="shared" ref="M6:S6" si="5">M4-M3</f>
        <v>18.900000000000091</v>
      </c>
      <c r="N6" s="34">
        <f t="shared" si="5"/>
        <v>9.1099999999996726</v>
      </c>
      <c r="O6" s="34">
        <f t="shared" si="5"/>
        <v>30.344804499196471</v>
      </c>
      <c r="P6" s="34">
        <f t="shared" si="5"/>
        <v>75.948258655809241</v>
      </c>
      <c r="Q6" s="34">
        <f t="shared" si="5"/>
        <v>-53.069999999999709</v>
      </c>
      <c r="R6" s="34">
        <f t="shared" si="5"/>
        <v>3.7300000000004729</v>
      </c>
      <c r="S6" s="34">
        <f t="shared" si="5"/>
        <v>84.963063155009877</v>
      </c>
      <c r="U6" s="5"/>
    </row>
    <row r="7" spans="1:21" x14ac:dyDescent="0.15">
      <c r="A7" s="12">
        <v>44306</v>
      </c>
      <c r="B7" s="13" t="e" vm="5">
        <v>#VALUE!</v>
      </c>
      <c r="C7" s="11" t="str" cm="1">
        <f t="array" ref="C7">_FV(B7,"Símbolo do ticker",TRUE)</f>
        <v>ITSA4</v>
      </c>
      <c r="D7" s="14">
        <f t="shared" si="0"/>
        <v>0.10172828033966484</v>
      </c>
      <c r="E7" s="15" cm="1">
        <f t="array" ref="E7">_FV(B7,"Preço")</f>
        <v>10.4</v>
      </c>
      <c r="F7" s="21">
        <f t="shared" si="1"/>
        <v>2.0608439646712547E-2</v>
      </c>
      <c r="G7" s="16">
        <f t="shared" si="2"/>
        <v>332.8</v>
      </c>
      <c r="H7" s="16">
        <v>10.19</v>
      </c>
      <c r="I7" s="17">
        <v>32</v>
      </c>
      <c r="J7" s="18">
        <f t="shared" si="3"/>
        <v>326.08</v>
      </c>
      <c r="K7" s="6"/>
      <c r="L7" s="6"/>
      <c r="M7" s="2"/>
      <c r="N7" s="2"/>
      <c r="O7" s="2"/>
      <c r="U7" s="5"/>
    </row>
    <row r="8" spans="1:21" x14ac:dyDescent="0.15">
      <c r="A8" s="12">
        <v>44306</v>
      </c>
      <c r="B8" s="13" t="e" vm="6">
        <v>#VALUE!</v>
      </c>
      <c r="C8" s="11" t="str" cm="1">
        <f t="array" ref="C8">_FV(B8,"Símbolo do ticker",TRUE)</f>
        <v>B3SA3</v>
      </c>
      <c r="D8" s="14">
        <f t="shared" si="0"/>
        <v>9.8304732443618439E-2</v>
      </c>
      <c r="E8" s="15" cm="1">
        <f t="array" ref="E8">_FV(B8,"Preço")</f>
        <v>53.6</v>
      </c>
      <c r="F8" s="21">
        <f t="shared" si="1"/>
        <v>-1.0705057216685092E-2</v>
      </c>
      <c r="G8" s="16">
        <f t="shared" si="2"/>
        <v>321.60000000000002</v>
      </c>
      <c r="H8" s="16">
        <v>54.18</v>
      </c>
      <c r="I8" s="17">
        <v>6</v>
      </c>
      <c r="J8" s="18">
        <f t="shared" si="3"/>
        <v>325.08</v>
      </c>
      <c r="K8" s="6"/>
      <c r="L8" s="6"/>
      <c r="S8" s="6"/>
      <c r="T8" s="5"/>
      <c r="U8" s="5"/>
    </row>
    <row r="9" spans="1:21" x14ac:dyDescent="0.15">
      <c r="A9" s="12">
        <v>44306</v>
      </c>
      <c r="B9" s="13" t="e" vm="7">
        <v>#VALUE!</v>
      </c>
      <c r="C9" s="11" t="str" cm="1">
        <f t="array" ref="C9">_FV(B9,"Símbolo do ticker",TRUE)</f>
        <v>EGIE3</v>
      </c>
      <c r="D9" s="14">
        <f t="shared" si="0"/>
        <v>0.1016304646854921</v>
      </c>
      <c r="E9" s="15" cm="1">
        <f t="array" ref="E9">_FV(B9,"Preço")</f>
        <v>41.56</v>
      </c>
      <c r="F9" s="21">
        <f t="shared" si="1"/>
        <v>1.6871535309713251E-3</v>
      </c>
      <c r="G9" s="16">
        <f t="shared" si="2"/>
        <v>332.48</v>
      </c>
      <c r="H9" s="16">
        <v>41.49</v>
      </c>
      <c r="I9" s="17">
        <v>8</v>
      </c>
      <c r="J9" s="18">
        <f t="shared" si="3"/>
        <v>331.92</v>
      </c>
      <c r="K9" s="6"/>
      <c r="L9" s="6"/>
      <c r="S9" s="6"/>
      <c r="T9" s="6"/>
      <c r="U9" s="6"/>
    </row>
    <row r="10" spans="1:21" x14ac:dyDescent="0.15">
      <c r="A10" s="12">
        <v>44306</v>
      </c>
      <c r="B10" s="13" t="e" vm="8">
        <v>#VALUE!</v>
      </c>
      <c r="C10" s="11" t="str" cm="1">
        <f t="array" ref="C10">_FV(B10,"Símbolo do ticker",TRUE)</f>
        <v>BBAS3</v>
      </c>
      <c r="D10" s="14">
        <f t="shared" si="0"/>
        <v>0.10188111729930978</v>
      </c>
      <c r="E10" s="15" cm="1">
        <f t="array" ref="E10">_FV(B10,"Preço")</f>
        <v>30.3</v>
      </c>
      <c r="F10" s="21">
        <f t="shared" si="1"/>
        <v>1.067378252168113E-2</v>
      </c>
      <c r="G10" s="16">
        <f t="shared" si="2"/>
        <v>333.3</v>
      </c>
      <c r="H10" s="16">
        <v>29.98</v>
      </c>
      <c r="I10" s="17">
        <v>11</v>
      </c>
      <c r="J10" s="18">
        <f t="shared" si="3"/>
        <v>329.78000000000003</v>
      </c>
      <c r="K10" s="6"/>
      <c r="L10" s="6"/>
      <c r="S10" s="6"/>
      <c r="T10" s="6"/>
      <c r="U10" s="6"/>
    </row>
    <row r="11" spans="1:21" x14ac:dyDescent="0.15">
      <c r="A11" s="12">
        <v>44306</v>
      </c>
      <c r="B11" s="13" t="e" vm="9">
        <v>#VALUE!</v>
      </c>
      <c r="C11" s="11" t="str" cm="1">
        <f t="array" ref="C11">_FV(B11,"Símbolo do ticker",TRUE)</f>
        <v>VIVT3</v>
      </c>
      <c r="D11" s="14">
        <f t="shared" si="0"/>
        <v>9.1879466660145598E-2</v>
      </c>
      <c r="E11" s="15" cm="1">
        <f t="array" ref="E11">_FV(B11,"Preço")</f>
        <v>42.94</v>
      </c>
      <c r="F11" s="21">
        <f t="shared" si="1"/>
        <v>-1.91868433074464E-2</v>
      </c>
      <c r="G11" s="16">
        <f t="shared" si="2"/>
        <v>300.58</v>
      </c>
      <c r="H11" s="16">
        <v>43.78</v>
      </c>
      <c r="I11" s="17">
        <v>7</v>
      </c>
      <c r="J11" s="18">
        <f t="shared" si="3"/>
        <v>306.46000000000004</v>
      </c>
      <c r="K11" s="6"/>
      <c r="L11" s="6"/>
      <c r="S11" s="6"/>
      <c r="T11" s="6"/>
      <c r="U11" s="6"/>
    </row>
    <row r="12" spans="1:21" x14ac:dyDescent="0.15">
      <c r="A12" s="12">
        <v>44306</v>
      </c>
      <c r="B12" s="13" t="e" vm="10">
        <v>#VALUE!</v>
      </c>
      <c r="C12" s="11" t="str" cm="1">
        <f t="array" ref="C12">_FV(B12,"Símbolo do ticker",TRUE)</f>
        <v>JALL3</v>
      </c>
      <c r="D12" s="14">
        <f t="shared" si="0"/>
        <v>0.10784175872546202</v>
      </c>
      <c r="E12" s="15" cm="1">
        <f t="array" ref="E12">_FV(B12,"Preço")</f>
        <v>8.82</v>
      </c>
      <c r="F12" s="21">
        <f t="shared" si="1"/>
        <v>7.1688942891859037E-2</v>
      </c>
      <c r="G12" s="16">
        <f t="shared" si="2"/>
        <v>352.8</v>
      </c>
      <c r="H12" s="16">
        <v>8.23</v>
      </c>
      <c r="I12" s="17">
        <v>40</v>
      </c>
      <c r="J12" s="18">
        <f t="shared" si="3"/>
        <v>329.20000000000005</v>
      </c>
      <c r="K12" s="6"/>
      <c r="L12" s="6"/>
      <c r="S12" s="6"/>
      <c r="T12" s="6"/>
      <c r="U12" s="6"/>
    </row>
    <row r="13" spans="1:21" x14ac:dyDescent="0.15">
      <c r="F13" s="20" t="s">
        <v>4</v>
      </c>
      <c r="G13" s="19">
        <f>SUM(G3:G12)</f>
        <v>3271.4600000000005</v>
      </c>
      <c r="H13" s="5"/>
      <c r="I13" s="20" t="s">
        <v>4</v>
      </c>
      <c r="J13" s="19">
        <f>SUM(J3:J12)</f>
        <v>3252.5600000000004</v>
      </c>
      <c r="K13" s="5"/>
      <c r="L13" s="5"/>
      <c r="R13" s="5"/>
      <c r="S13" s="6"/>
      <c r="T13" s="6"/>
      <c r="U13" s="6"/>
    </row>
    <row r="14" spans="1:21" x14ac:dyDescent="0.15">
      <c r="S14" s="6"/>
      <c r="T14" s="6"/>
      <c r="U14" s="6"/>
    </row>
    <row r="15" spans="1:21" x14ac:dyDescent="0.15">
      <c r="S15" s="6"/>
      <c r="T15" s="6"/>
      <c r="U15" s="6"/>
    </row>
    <row r="16" spans="1:21" x14ac:dyDescent="0.15">
      <c r="S16" s="6"/>
      <c r="T16" s="6"/>
      <c r="U16" s="6"/>
    </row>
    <row r="17" spans="1:10" x14ac:dyDescent="0.15">
      <c r="A17" s="37" t="s">
        <v>92</v>
      </c>
      <c r="B17" s="37"/>
      <c r="C17" s="37"/>
      <c r="D17" s="37"/>
      <c r="E17" s="37"/>
      <c r="F17" s="37"/>
      <c r="G17" s="37"/>
      <c r="H17" s="37"/>
      <c r="I17" s="37"/>
      <c r="J17" s="37"/>
    </row>
    <row r="18" spans="1:10" ht="15" x14ac:dyDescent="0.2">
      <c r="A18" s="10" t="s">
        <v>0</v>
      </c>
      <c r="B18" s="11" t="s">
        <v>2</v>
      </c>
      <c r="C18" s="11" t="s">
        <v>88</v>
      </c>
      <c r="D18" s="11" t="s">
        <v>3</v>
      </c>
      <c r="E18" s="11" t="s">
        <v>89</v>
      </c>
      <c r="F18" s="11" t="s">
        <v>91</v>
      </c>
      <c r="G18" s="10" t="s">
        <v>4</v>
      </c>
      <c r="H18" s="10" t="s">
        <v>5</v>
      </c>
      <c r="I18" s="10" t="s">
        <v>6</v>
      </c>
      <c r="J18" s="10" t="s">
        <v>90</v>
      </c>
    </row>
    <row r="19" spans="1:10" x14ac:dyDescent="0.15">
      <c r="A19" s="12">
        <v>44306</v>
      </c>
      <c r="B19" s="15" t="e" vm="11">
        <v>#VALUE!</v>
      </c>
      <c r="C19" s="11" t="str" cm="1">
        <f t="array" ref="C19">_FV(B19,"Símbolo do ticker",TRUE)</f>
        <v>MXRF11</v>
      </c>
      <c r="D19" s="22">
        <f>G19/$G$23</f>
        <v>0.2604133046854108</v>
      </c>
      <c r="E19" s="15" cm="1">
        <f t="array" ref="E19">_FV(B19,"Preço")</f>
        <v>10.59</v>
      </c>
      <c r="F19" s="21">
        <f>(E19-H19)/H19</f>
        <v>1.0496183206106815E-2</v>
      </c>
      <c r="G19" s="16">
        <f>E19*I19</f>
        <v>847.2</v>
      </c>
      <c r="H19" s="16">
        <v>10.48</v>
      </c>
      <c r="I19" s="17">
        <v>80</v>
      </c>
      <c r="J19" s="16">
        <f>I19*H19</f>
        <v>838.40000000000009</v>
      </c>
    </row>
    <row r="20" spans="1:10" x14ac:dyDescent="0.15">
      <c r="A20" s="12">
        <v>44306</v>
      </c>
      <c r="B20" s="13" t="e" vm="12">
        <v>#VALUE!</v>
      </c>
      <c r="C20" s="11" t="str" cm="1">
        <f t="array" ref="C20">_FV(B20,"Símbolo do ticker",TRUE)</f>
        <v>MCCI11</v>
      </c>
      <c r="D20" s="22">
        <f>G20/$G$23</f>
        <v>0.25303615724389772</v>
      </c>
      <c r="E20" s="15" cm="1">
        <f t="array" ref="E20">_FV(B20,"Preço")</f>
        <v>102.9</v>
      </c>
      <c r="F20" s="21">
        <f t="shared" ref="F20:F22" si="6">(E20-H20)/H20</f>
        <v>-3.3898305084745211E-3</v>
      </c>
      <c r="G20" s="16">
        <f t="shared" ref="G20:G21" si="7">E20*I20</f>
        <v>823.2</v>
      </c>
      <c r="H20" s="16">
        <v>103.25</v>
      </c>
      <c r="I20" s="17">
        <v>8</v>
      </c>
      <c r="J20" s="16">
        <f>I20*H20</f>
        <v>826</v>
      </c>
    </row>
    <row r="21" spans="1:10" x14ac:dyDescent="0.15">
      <c r="A21" s="12">
        <v>44306</v>
      </c>
      <c r="B21" s="13" t="e" vm="13">
        <v>#VALUE!</v>
      </c>
      <c r="C21" s="11" t="str" cm="1">
        <f t="array" ref="C21">_FV(B21,"Símbolo do ticker",TRUE)</f>
        <v>RBRP11</v>
      </c>
      <c r="D21" s="22">
        <f>G21/$G$23</f>
        <v>0.24067943527936336</v>
      </c>
      <c r="E21" s="15" cm="1">
        <f t="array" ref="E21">_FV(B21,"Preço")</f>
        <v>87</v>
      </c>
      <c r="F21" s="21">
        <f t="shared" si="6"/>
        <v>-2.2252191503708742E-2</v>
      </c>
      <c r="G21" s="16">
        <f t="shared" si="7"/>
        <v>783</v>
      </c>
      <c r="H21" s="16">
        <v>88.98</v>
      </c>
      <c r="I21" s="17">
        <v>9</v>
      </c>
      <c r="J21" s="16">
        <f>I21*H21</f>
        <v>800.82</v>
      </c>
    </row>
    <row r="22" spans="1:10" x14ac:dyDescent="0.15">
      <c r="A22" s="12">
        <v>44306</v>
      </c>
      <c r="B22" s="13" t="e" vm="14">
        <v>#VALUE!</v>
      </c>
      <c r="C22" s="11" t="str" cm="1">
        <f t="array" ref="C22">_FV(B22,"Símbolo do ticker",TRUE)</f>
        <v>BTLG11</v>
      </c>
      <c r="D22" s="22">
        <f>G22/$G$23</f>
        <v>0.24587110279132815</v>
      </c>
      <c r="E22" s="15" cm="1">
        <f t="array" ref="E22">_FV(B22,"Preço")</f>
        <v>114.27</v>
      </c>
      <c r="F22" s="21">
        <f t="shared" si="6"/>
        <v>2.6869158878504627E-2</v>
      </c>
      <c r="G22" s="16">
        <f>E22*I22</f>
        <v>799.89</v>
      </c>
      <c r="H22" s="16">
        <v>111.28</v>
      </c>
      <c r="I22" s="17">
        <v>7</v>
      </c>
      <c r="J22" s="16">
        <f>I22*H22</f>
        <v>778.96</v>
      </c>
    </row>
    <row r="23" spans="1:10" x14ac:dyDescent="0.15">
      <c r="A23" s="9"/>
      <c r="D23" s="8"/>
      <c r="E23" s="8"/>
      <c r="F23" s="20" t="s">
        <v>4</v>
      </c>
      <c r="G23" s="20">
        <f>SUM(G19:G22)</f>
        <v>3253.29</v>
      </c>
      <c r="H23" s="5"/>
      <c r="I23" s="20" t="s">
        <v>4</v>
      </c>
      <c r="J23" s="20">
        <f>SUM(J19:J22)</f>
        <v>3244.1800000000003</v>
      </c>
    </row>
    <row r="24" spans="1:10" x14ac:dyDescent="0.15">
      <c r="A24" s="9"/>
      <c r="D24" s="8"/>
      <c r="E24" s="8"/>
      <c r="F24" s="8"/>
      <c r="G24" s="5"/>
      <c r="H24" s="5"/>
      <c r="I24" s="5"/>
      <c r="J24" s="5"/>
    </row>
    <row r="26" spans="1:10" x14ac:dyDescent="0.15">
      <c r="A26" s="37" t="s">
        <v>93</v>
      </c>
      <c r="B26" s="37"/>
      <c r="C26" s="37"/>
      <c r="D26" s="37"/>
      <c r="E26" s="37"/>
      <c r="F26" s="37"/>
      <c r="G26" s="37"/>
      <c r="H26" s="37"/>
      <c r="I26" s="37"/>
      <c r="J26" s="37"/>
    </row>
    <row r="27" spans="1:10" ht="15" x14ac:dyDescent="0.2">
      <c r="A27" s="10" t="s">
        <v>0</v>
      </c>
      <c r="B27" s="11" t="s">
        <v>2</v>
      </c>
      <c r="C27" s="11" t="s">
        <v>88</v>
      </c>
      <c r="D27" s="11" t="s">
        <v>3</v>
      </c>
      <c r="E27" s="11" t="s">
        <v>89</v>
      </c>
      <c r="F27" s="11" t="s">
        <v>91</v>
      </c>
      <c r="G27" s="10" t="s">
        <v>4</v>
      </c>
      <c r="H27" s="10" t="s">
        <v>5</v>
      </c>
      <c r="I27" s="10" t="s">
        <v>6</v>
      </c>
      <c r="J27" s="10" t="s">
        <v>90</v>
      </c>
    </row>
    <row r="28" spans="1:10" x14ac:dyDescent="0.15">
      <c r="A28" s="23">
        <v>44305</v>
      </c>
      <c r="B28" s="13" t="e" vm="15">
        <v>#VALUE!</v>
      </c>
      <c r="C28" s="11" t="str" cm="1">
        <f t="array" ref="C28">_FV(B28,"Símbolo do ticker",TRUE)</f>
        <v>AMZN</v>
      </c>
      <c r="D28" s="22">
        <f>G28/$G$35</f>
        <v>0.16349801480953619</v>
      </c>
      <c r="E28" s="24" cm="1">
        <f t="array" ref="E28">_FV(B28,"Preço")</f>
        <v>3458.5</v>
      </c>
      <c r="F28" s="21">
        <f>(E28-H28)/H28</f>
        <v>2.5247035573122485E-2</v>
      </c>
      <c r="G28" s="24">
        <f>E28*I28</f>
        <v>93.379499999999993</v>
      </c>
      <c r="H28" s="25">
        <f>J28/I28</f>
        <v>3373.3333333333335</v>
      </c>
      <c r="I28" s="26">
        <v>2.7E-2</v>
      </c>
      <c r="J28" s="13">
        <v>91.08</v>
      </c>
    </row>
    <row r="29" spans="1:10" x14ac:dyDescent="0.15">
      <c r="A29" s="23">
        <v>44305</v>
      </c>
      <c r="B29" s="13" t="e" vm="16">
        <v>#VALUE!</v>
      </c>
      <c r="C29" s="11" t="str" cm="1">
        <f t="array" ref="C29">_FV(B29,"Símbolo do ticker",TRUE)</f>
        <v>BRK.B</v>
      </c>
      <c r="D29" s="22">
        <f t="shared" ref="D29:D34" si="8">G29/$G$35</f>
        <v>0.16162838801571344</v>
      </c>
      <c r="E29" s="24" cm="1">
        <f t="array" ref="E29">_FV(B29,"Preço")</f>
        <v>272.95</v>
      </c>
      <c r="F29" s="21">
        <f t="shared" ref="F29:F33" si="9">(E29-H29)/H29</f>
        <v>1.3523166447079536E-2</v>
      </c>
      <c r="G29" s="24">
        <f t="shared" ref="G29:G33" si="10">E29*I29</f>
        <v>92.311689999999999</v>
      </c>
      <c r="H29" s="25">
        <f t="shared" ref="H29:H33" si="11">J29/I29</f>
        <v>269.30810171496154</v>
      </c>
      <c r="I29" s="26">
        <v>0.3382</v>
      </c>
      <c r="J29" s="13">
        <v>91.08</v>
      </c>
    </row>
    <row r="30" spans="1:10" x14ac:dyDescent="0.15">
      <c r="A30" s="23">
        <v>44305</v>
      </c>
      <c r="B30" s="13" t="e" vm="17">
        <v>#VALUE!</v>
      </c>
      <c r="C30" s="11" t="str" cm="1">
        <f t="array" ref="C30">_FV(B30,"Símbolo do ticker",TRUE)</f>
        <v>KO</v>
      </c>
      <c r="D30" s="22">
        <f t="shared" si="8"/>
        <v>0.15781376000392203</v>
      </c>
      <c r="E30" s="24" cm="1">
        <f t="array" ref="E30">_FV(B30,"Preço")</f>
        <v>53.59</v>
      </c>
      <c r="F30" s="21">
        <f t="shared" si="9"/>
        <v>-8.0010895883776967E-3</v>
      </c>
      <c r="G30" s="24">
        <f t="shared" si="10"/>
        <v>90.133020999999999</v>
      </c>
      <c r="H30" s="25">
        <f t="shared" si="11"/>
        <v>54.022236756049708</v>
      </c>
      <c r="I30" s="26">
        <v>1.6819</v>
      </c>
      <c r="J30" s="13">
        <v>90.86</v>
      </c>
    </row>
    <row r="31" spans="1:10" x14ac:dyDescent="0.15">
      <c r="A31" s="23">
        <v>44305</v>
      </c>
      <c r="B31" s="13" t="e" vm="18">
        <v>#VALUE!</v>
      </c>
      <c r="C31" s="11" t="str" cm="1">
        <f t="array" ref="C31">_FV(B31,"Símbolo do ticker",TRUE)</f>
        <v>AAPL</v>
      </c>
      <c r="D31" s="22">
        <f t="shared" si="8"/>
        <v>0.15834014834048762</v>
      </c>
      <c r="E31" s="24" cm="1">
        <f t="array" ref="E31">_FV(B31,"Preço")</f>
        <v>133.58000000000001</v>
      </c>
      <c r="F31" s="21">
        <f t="shared" si="9"/>
        <v>-6.1142982745353838E-3</v>
      </c>
      <c r="G31" s="24">
        <f t="shared" si="10"/>
        <v>90.433660000000017</v>
      </c>
      <c r="H31" s="25">
        <f t="shared" si="11"/>
        <v>134.40177252584931</v>
      </c>
      <c r="I31" s="26">
        <v>0.67700000000000005</v>
      </c>
      <c r="J31" s="13">
        <v>90.99</v>
      </c>
    </row>
    <row r="32" spans="1:10" x14ac:dyDescent="0.15">
      <c r="A32" s="23">
        <v>44305</v>
      </c>
      <c r="B32" s="13" t="e" vm="19">
        <v>#VALUE!</v>
      </c>
      <c r="C32" s="11" t="str" cm="1">
        <f t="array" ref="C32">_FV(B32,"Símbolo do ticker",TRUE)</f>
        <v>WFC</v>
      </c>
      <c r="D32" s="22">
        <f t="shared" si="8"/>
        <v>0.16319669920638344</v>
      </c>
      <c r="E32" s="24" cm="1">
        <f t="array" ref="E32">_FV(B32,"Preço")</f>
        <v>45.08</v>
      </c>
      <c r="F32" s="21">
        <f t="shared" si="9"/>
        <v>2.6174259605857109E-2</v>
      </c>
      <c r="G32" s="24">
        <f t="shared" si="10"/>
        <v>93.207408000000001</v>
      </c>
      <c r="H32" s="25">
        <f t="shared" si="11"/>
        <v>43.93016057264461</v>
      </c>
      <c r="I32" s="26">
        <v>2.0676000000000001</v>
      </c>
      <c r="J32" s="13">
        <v>90.83</v>
      </c>
    </row>
    <row r="33" spans="1:10" x14ac:dyDescent="0.15">
      <c r="A33" s="23">
        <v>44305</v>
      </c>
      <c r="B33" s="13" t="e" vm="20">
        <v>#VALUE!</v>
      </c>
      <c r="C33" s="11" t="str" cm="1">
        <f t="array" ref="C33">_FV(B33,"Símbolo do ticker",TRUE)</f>
        <v>MSFT</v>
      </c>
      <c r="D33" s="22">
        <f t="shared" si="8"/>
        <v>8.606634810529816E-2</v>
      </c>
      <c r="E33" s="24" cm="1">
        <f t="array" ref="E33">_FV(B33,"Preço")</f>
        <v>254.56</v>
      </c>
      <c r="F33" s="21">
        <f t="shared" si="9"/>
        <v>-1.649587835134041E-2</v>
      </c>
      <c r="G33" s="24">
        <f t="shared" si="10"/>
        <v>49.155535999999998</v>
      </c>
      <c r="H33" s="25">
        <f t="shared" si="11"/>
        <v>258.82962195753493</v>
      </c>
      <c r="I33" s="26">
        <v>0.19309999999999999</v>
      </c>
      <c r="J33" s="13">
        <v>49.98</v>
      </c>
    </row>
    <row r="34" spans="1:10" x14ac:dyDescent="0.15">
      <c r="A34" s="23">
        <v>44305</v>
      </c>
      <c r="B34" s="13" t="e" vm="21">
        <v>#VALUE!</v>
      </c>
      <c r="C34" s="11" t="str" cm="1">
        <f t="array" ref="C34">_FV(B34,"Símbolo do ticker",TRUE)</f>
        <v>GOOGL</v>
      </c>
      <c r="D34" s="22">
        <f t="shared" si="8"/>
        <v>0.10945664151865922</v>
      </c>
      <c r="E34" s="24" cm="1">
        <f t="array" ref="E34">_FV(B34,"Preço")</f>
        <v>2359.04</v>
      </c>
      <c r="F34" s="21">
        <f t="shared" ref="F34" si="12">(E34-H34)/H34</f>
        <v>3.0742951360263688E-2</v>
      </c>
      <c r="G34" s="24">
        <f t="shared" ref="G34" si="13">E34*I34</f>
        <v>62.514559999999996</v>
      </c>
      <c r="H34" s="25">
        <f t="shared" ref="H34" si="14">J34/I34</f>
        <v>2288.6792452830191</v>
      </c>
      <c r="I34" s="26">
        <v>2.6499999999999999E-2</v>
      </c>
      <c r="J34" s="13">
        <v>60.65</v>
      </c>
    </row>
    <row r="35" spans="1:10" x14ac:dyDescent="0.15">
      <c r="F35" s="20" t="s">
        <v>4</v>
      </c>
      <c r="G35" s="27">
        <f>SUM(G28:G34)</f>
        <v>571.13537499999995</v>
      </c>
      <c r="I35" s="20" t="s">
        <v>4</v>
      </c>
      <c r="J35" s="27">
        <f>SUM(J28:J34)</f>
        <v>565.47</v>
      </c>
    </row>
    <row r="36" spans="1:10" x14ac:dyDescent="0.15">
      <c r="F36" s="20" t="s">
        <v>4</v>
      </c>
      <c r="G36" s="28">
        <f>G35/'Cotações das Moedas'!C2</f>
        <v>3059.1075254418852</v>
      </c>
      <c r="I36" s="20" t="s">
        <v>4</v>
      </c>
      <c r="J36" s="28">
        <f>J35/'Cotações das Moedas'!C2</f>
        <v>3028.7627209426887</v>
      </c>
    </row>
    <row r="39" spans="1:10" x14ac:dyDescent="0.15">
      <c r="A39" s="37" t="s">
        <v>292</v>
      </c>
      <c r="B39" s="37"/>
      <c r="C39" s="37"/>
      <c r="D39" s="37"/>
      <c r="E39" s="37"/>
      <c r="F39" s="37"/>
      <c r="G39" s="37"/>
      <c r="H39" s="37"/>
      <c r="I39" s="37"/>
      <c r="J39" s="37"/>
    </row>
    <row r="40" spans="1:10" ht="15" x14ac:dyDescent="0.2">
      <c r="A40" s="10" t="s">
        <v>0</v>
      </c>
      <c r="B40" s="11" t="s">
        <v>2</v>
      </c>
      <c r="C40" s="11" t="s">
        <v>88</v>
      </c>
      <c r="D40" s="11" t="s">
        <v>3</v>
      </c>
      <c r="E40" s="11" t="s">
        <v>89</v>
      </c>
      <c r="F40" s="11" t="s">
        <v>91</v>
      </c>
      <c r="G40" s="10" t="s">
        <v>4</v>
      </c>
      <c r="H40" s="10" t="s">
        <v>5</v>
      </c>
      <c r="I40" s="10" t="s">
        <v>6</v>
      </c>
      <c r="J40" s="10" t="s">
        <v>90</v>
      </c>
    </row>
    <row r="41" spans="1:10" x14ac:dyDescent="0.15">
      <c r="A41" s="12">
        <v>44306</v>
      </c>
      <c r="B41" s="13" t="e" vm="22">
        <v>#VALUE!</v>
      </c>
      <c r="C41" s="11" t="s">
        <v>94</v>
      </c>
      <c r="D41" s="22">
        <f>G41/$G$47</f>
        <v>0.19963889564992338</v>
      </c>
      <c r="E41" s="24">
        <f>VLOOKUP(C41,'Cotação Criptos'!D:E,2,0)</f>
        <v>54380.6</v>
      </c>
      <c r="F41" s="21">
        <f>(E41-H41)/H41</f>
        <v>5.6087014492753655E-2</v>
      </c>
      <c r="G41" s="24">
        <f>E41*I41</f>
        <v>36.435001999999997</v>
      </c>
      <c r="H41" s="25">
        <f>J41/I41</f>
        <v>51492.537313432833</v>
      </c>
      <c r="I41" s="29">
        <v>6.7000000000000002E-4</v>
      </c>
      <c r="J41" s="25">
        <v>34.5</v>
      </c>
    </row>
    <row r="42" spans="1:10" x14ac:dyDescent="0.15">
      <c r="A42" s="12">
        <v>44306</v>
      </c>
      <c r="B42" s="13" t="e" vm="23">
        <v>#VALUE!</v>
      </c>
      <c r="C42" s="11" t="s">
        <v>95</v>
      </c>
      <c r="D42" s="22">
        <f t="shared" ref="D42:D46" si="15">G42/$G$47</f>
        <v>0.26003849746901014</v>
      </c>
      <c r="E42" s="24">
        <f>VLOOKUP(C42,'Cotação Criptos'!D:E,2,0)</f>
        <v>1.4019900000000001</v>
      </c>
      <c r="F42" s="21">
        <f t="shared" ref="F42:F46" si="16">(E42-H42)/H42</f>
        <v>0.29813888888888884</v>
      </c>
      <c r="G42" s="24">
        <f t="shared" ref="G42:G46" si="17">E42*I42</f>
        <v>47.458202694000001</v>
      </c>
      <c r="H42" s="25">
        <v>1.08</v>
      </c>
      <c r="I42" s="29">
        <v>33.8506</v>
      </c>
      <c r="J42" s="25">
        <f>H42*I42</f>
        <v>36.558648000000005</v>
      </c>
    </row>
    <row r="43" spans="1:10" x14ac:dyDescent="0.15">
      <c r="A43" s="12">
        <v>44306</v>
      </c>
      <c r="B43" s="13"/>
      <c r="C43" s="11" t="s">
        <v>117</v>
      </c>
      <c r="D43" s="22">
        <f t="shared" si="15"/>
        <v>0.18355737481347772</v>
      </c>
      <c r="E43" s="24">
        <f>VLOOKUP(C43,'Cotação Criptos'!D:E,2,0)</f>
        <v>1.3920870000000001</v>
      </c>
      <c r="F43" s="21">
        <f t="shared" si="16"/>
        <v>0.15917133785943302</v>
      </c>
      <c r="G43" s="24">
        <f t="shared" si="17"/>
        <v>33.500051664137608</v>
      </c>
      <c r="H43" s="25">
        <f t="shared" ref="H43:H46" si="18">J43/I43</f>
        <v>1.2009329031294695</v>
      </c>
      <c r="I43" s="29">
        <v>24.064625029999998</v>
      </c>
      <c r="J43" s="25">
        <v>28.9</v>
      </c>
    </row>
    <row r="44" spans="1:10" x14ac:dyDescent="0.15">
      <c r="A44" s="12">
        <v>44306</v>
      </c>
      <c r="B44" s="13"/>
      <c r="C44" s="30" t="s">
        <v>96</v>
      </c>
      <c r="D44" s="22">
        <f t="shared" si="15"/>
        <v>0.15212805958137135</v>
      </c>
      <c r="E44" s="24">
        <f>VLOOKUP(C44,'Cotação Criptos'!D:E,2,0)</f>
        <v>34.803800000000003</v>
      </c>
      <c r="F44" s="21">
        <f t="shared" si="16"/>
        <v>3.3273516509936825E-2</v>
      </c>
      <c r="G44" s="24">
        <f t="shared" si="17"/>
        <v>27.764059388622002</v>
      </c>
      <c r="H44" s="25">
        <f t="shared" si="18"/>
        <v>33.683046593080178</v>
      </c>
      <c r="I44" s="29">
        <v>0.79773068999999996</v>
      </c>
      <c r="J44" s="25">
        <v>26.87</v>
      </c>
    </row>
    <row r="45" spans="1:10" x14ac:dyDescent="0.15">
      <c r="A45" s="12">
        <v>44306</v>
      </c>
      <c r="B45" s="13"/>
      <c r="C45" s="11" t="s">
        <v>146</v>
      </c>
      <c r="D45" s="22">
        <f t="shared" si="15"/>
        <v>0.11385024890662257</v>
      </c>
      <c r="E45" s="24">
        <f>VLOOKUP(C45,'Cotação Criptos'!D:E,2,0)</f>
        <v>419.11200000000002</v>
      </c>
      <c r="F45" s="21">
        <f t="shared" si="16"/>
        <v>0.10522264357872342</v>
      </c>
      <c r="G45" s="24">
        <f t="shared" si="17"/>
        <v>20.778185699280002</v>
      </c>
      <c r="H45" s="25">
        <f t="shared" si="18"/>
        <v>379.21047169546819</v>
      </c>
      <c r="I45" s="29">
        <v>4.957669E-2</v>
      </c>
      <c r="J45" s="25">
        <v>18.8</v>
      </c>
    </row>
    <row r="46" spans="1:10" x14ac:dyDescent="0.15">
      <c r="A46" s="12">
        <v>44306</v>
      </c>
      <c r="B46" s="13"/>
      <c r="C46" s="11" t="s">
        <v>158</v>
      </c>
      <c r="D46" s="22">
        <f t="shared" si="15"/>
        <v>9.0786923579594836E-2</v>
      </c>
      <c r="E46" s="24">
        <f>VLOOKUP(C46,'Cotação Criptos'!D:E,2,0)</f>
        <v>0.99909999999999999</v>
      </c>
      <c r="F46" s="21">
        <f t="shared" si="16"/>
        <v>3.5750723803755382E-3</v>
      </c>
      <c r="G46" s="24">
        <f t="shared" si="17"/>
        <v>16.569024445</v>
      </c>
      <c r="H46" s="25">
        <f t="shared" si="18"/>
        <v>0.99554086933450714</v>
      </c>
      <c r="I46" s="29">
        <v>16.583950000000002</v>
      </c>
      <c r="J46" s="25">
        <v>16.510000000000002</v>
      </c>
    </row>
    <row r="47" spans="1:10" x14ac:dyDescent="0.15">
      <c r="F47" s="20" t="s">
        <v>4</v>
      </c>
      <c r="G47" s="27">
        <f>SUM(G40:G46)</f>
        <v>182.50452589103961</v>
      </c>
      <c r="I47" s="20" t="s">
        <v>4</v>
      </c>
      <c r="J47" s="27">
        <f>SUM(J40:J46)</f>
        <v>162.13864800000002</v>
      </c>
    </row>
    <row r="48" spans="1:10" x14ac:dyDescent="0.15">
      <c r="F48" s="20" t="s">
        <v>4</v>
      </c>
      <c r="G48" s="28">
        <f>G47/'Cotações das Moedas'!C2</f>
        <v>977.52825865580928</v>
      </c>
      <c r="I48" s="20" t="s">
        <v>4</v>
      </c>
      <c r="J48" s="28">
        <v>901.58</v>
      </c>
    </row>
    <row r="50" spans="1:10" x14ac:dyDescent="0.15">
      <c r="A50" s="37" t="s">
        <v>7</v>
      </c>
      <c r="B50" s="37"/>
      <c r="C50" s="37"/>
      <c r="D50" s="37"/>
      <c r="E50" s="37"/>
      <c r="F50" s="37"/>
      <c r="G50" s="37"/>
      <c r="H50" s="37"/>
      <c r="I50" s="37"/>
      <c r="J50" s="37"/>
    </row>
    <row r="51" spans="1:10" ht="15" x14ac:dyDescent="0.2">
      <c r="A51" s="10" t="s">
        <v>0</v>
      </c>
      <c r="B51" s="35" t="s">
        <v>2</v>
      </c>
      <c r="C51" s="35" t="s">
        <v>88</v>
      </c>
      <c r="D51" s="35" t="s">
        <v>3</v>
      </c>
      <c r="E51" s="35" t="s">
        <v>89</v>
      </c>
      <c r="F51" s="35" t="s">
        <v>91</v>
      </c>
      <c r="G51" s="10" t="s">
        <v>4</v>
      </c>
      <c r="H51" s="10" t="s">
        <v>5</v>
      </c>
      <c r="I51" s="10" t="s">
        <v>6</v>
      </c>
      <c r="J51" s="10" t="s">
        <v>90</v>
      </c>
    </row>
    <row r="52" spans="1:10" x14ac:dyDescent="0.15">
      <c r="A52" s="12">
        <v>44306</v>
      </c>
      <c r="B52" s="13" t="e" vm="5">
        <v>#VALUE!</v>
      </c>
      <c r="C52" s="35" t="str" cm="1">
        <f t="array" ref="C52">_FV(B52,"Símbolo do ticker",TRUE)</f>
        <v>ITSA4</v>
      </c>
      <c r="D52" s="14">
        <f>G52/$G$64</f>
        <v>1.1418170994429981E-2</v>
      </c>
      <c r="E52" s="15" cm="1">
        <f t="array" ref="E52">_FV(B52,"Preço")</f>
        <v>10.4</v>
      </c>
      <c r="F52" s="21">
        <f>(E52-H52)/H52</f>
        <v>-1.886792452830182E-2</v>
      </c>
      <c r="G52" s="16">
        <f>E52*I52</f>
        <v>93.600000000000009</v>
      </c>
      <c r="H52" s="16">
        <v>10.6</v>
      </c>
      <c r="I52" s="17">
        <v>9</v>
      </c>
      <c r="J52" s="18">
        <f>I52*H52</f>
        <v>95.399999999999991</v>
      </c>
    </row>
    <row r="53" spans="1:10" x14ac:dyDescent="0.15">
      <c r="A53" s="12">
        <v>44306</v>
      </c>
      <c r="B53" s="13" t="e" vm="10">
        <v>#VALUE!</v>
      </c>
      <c r="C53" s="35" t="str" cm="1">
        <f t="array" ref="C53">_FV(B53,"Símbolo do ticker",TRUE)</f>
        <v>JALL3</v>
      </c>
      <c r="D53" s="14">
        <f t="shared" ref="D53:D62" si="19">G53/$G$64</f>
        <v>2.1518860720271888E-2</v>
      </c>
      <c r="E53" s="15" cm="1">
        <f t="array" ref="E53">_FV(B53,"Preço")</f>
        <v>8.82</v>
      </c>
      <c r="F53" s="21">
        <f t="shared" ref="F53:F62" si="20">(E53-H53)/H53</f>
        <v>4.6263345195729604E-2</v>
      </c>
      <c r="G53" s="16">
        <f t="shared" ref="G53:G62" si="21">E53*I53</f>
        <v>176.4</v>
      </c>
      <c r="H53" s="16">
        <v>8.43</v>
      </c>
      <c r="I53" s="17">
        <v>20</v>
      </c>
      <c r="J53" s="18">
        <f t="shared" ref="J53:J62" si="22">I53*H53</f>
        <v>168.6</v>
      </c>
    </row>
    <row r="54" spans="1:10" x14ac:dyDescent="0.15">
      <c r="A54" s="12">
        <v>44306</v>
      </c>
      <c r="B54" s="13" t="e" vm="24">
        <v>#VALUE!</v>
      </c>
      <c r="C54" s="35" t="str" cm="1">
        <f t="array" ref="C54">_FV(B54,"Símbolo do ticker",TRUE)</f>
        <v>LCAM3</v>
      </c>
      <c r="D54" s="14">
        <f t="shared" si="19"/>
        <v>3.1473163638492896E-2</v>
      </c>
      <c r="E54" s="15" cm="1">
        <f t="array" ref="E54">_FV(B54,"Preço")</f>
        <v>25.8</v>
      </c>
      <c r="F54" s="21">
        <f t="shared" si="20"/>
        <v>2.8708133971291964E-2</v>
      </c>
      <c r="G54" s="16">
        <f t="shared" si="21"/>
        <v>258</v>
      </c>
      <c r="H54" s="16">
        <v>25.08</v>
      </c>
      <c r="I54" s="17">
        <v>10</v>
      </c>
      <c r="J54" s="18">
        <f t="shared" si="22"/>
        <v>250.79999999999998</v>
      </c>
    </row>
    <row r="55" spans="1:10" x14ac:dyDescent="0.15">
      <c r="A55" s="12">
        <v>44306</v>
      </c>
      <c r="B55" s="13" t="e" vm="4">
        <v>#VALUE!</v>
      </c>
      <c r="C55" s="35" t="str" cm="1">
        <f t="array" ref="C55">_FV(B55,"Símbolo do ticker",TRUE)</f>
        <v>MDIA3</v>
      </c>
      <c r="D55" s="14">
        <f t="shared" si="19"/>
        <v>5.5992953914993177E-2</v>
      </c>
      <c r="E55" s="15" cm="1">
        <f t="array" ref="E55">_FV(B55,"Preço")</f>
        <v>27</v>
      </c>
      <c r="F55" s="21">
        <f t="shared" si="20"/>
        <v>-6.0869565217391307E-2</v>
      </c>
      <c r="G55" s="16">
        <f t="shared" si="21"/>
        <v>459</v>
      </c>
      <c r="H55" s="16">
        <v>28.75</v>
      </c>
      <c r="I55" s="17">
        <v>17</v>
      </c>
      <c r="J55" s="18">
        <f t="shared" si="22"/>
        <v>488.75</v>
      </c>
    </row>
    <row r="56" spans="1:10" x14ac:dyDescent="0.15">
      <c r="A56" s="12">
        <v>44306</v>
      </c>
      <c r="B56" s="13" t="e" vm="11">
        <v>#VALUE!</v>
      </c>
      <c r="C56" s="35" t="str" cm="1">
        <f t="array" ref="C56">_FV(B56,"Símbolo do ticker",TRUE)</f>
        <v>MXRF11</v>
      </c>
      <c r="D56" s="14">
        <f t="shared" si="19"/>
        <v>0.54258270244685547</v>
      </c>
      <c r="E56" s="15" cm="1">
        <f t="array" ref="E56">_FV(B56,"Preço")</f>
        <v>10.59</v>
      </c>
      <c r="F56" s="21">
        <f t="shared" si="20"/>
        <v>1.8269230769230722E-2</v>
      </c>
      <c r="G56" s="16">
        <f t="shared" si="21"/>
        <v>4447.8</v>
      </c>
      <c r="H56" s="16">
        <v>10.4</v>
      </c>
      <c r="I56" s="17">
        <v>420</v>
      </c>
      <c r="J56" s="18">
        <f t="shared" si="22"/>
        <v>4368</v>
      </c>
    </row>
    <row r="57" spans="1:10" x14ac:dyDescent="0.15">
      <c r="A57" s="12">
        <v>44306</v>
      </c>
      <c r="B57" s="13" t="e" vm="1">
        <v>#VALUE!</v>
      </c>
      <c r="C57" s="35" t="str" cm="1">
        <f t="array" ref="C57">_FV(B57,"Símbolo do ticker",TRUE)</f>
        <v>NEOE3</v>
      </c>
      <c r="D57" s="14">
        <f t="shared" si="19"/>
        <v>4.0280769897016878E-2</v>
      </c>
      <c r="E57" s="15" cm="1">
        <f t="array" ref="E57">_FV(B57,"Preço")</f>
        <v>16.510000000000002</v>
      </c>
      <c r="F57" s="21">
        <f t="shared" si="20"/>
        <v>-1.2099213551118918E-3</v>
      </c>
      <c r="G57" s="16">
        <f t="shared" si="21"/>
        <v>330.20000000000005</v>
      </c>
      <c r="H57" s="16">
        <v>16.53</v>
      </c>
      <c r="I57" s="17">
        <v>20</v>
      </c>
      <c r="J57" s="18">
        <f t="shared" si="22"/>
        <v>330.6</v>
      </c>
    </row>
    <row r="58" spans="1:10" x14ac:dyDescent="0.15">
      <c r="A58" s="12">
        <v>44306</v>
      </c>
      <c r="B58" s="13" t="e" vm="25">
        <v>#VALUE!</v>
      </c>
      <c r="C58" s="35" t="str" cm="1">
        <f t="array" ref="C58">_FV(B58,"Símbolo do ticker",TRUE)</f>
        <v>PETR4</v>
      </c>
      <c r="D58" s="14">
        <f t="shared" si="19"/>
        <v>2.628375130833209E-2</v>
      </c>
      <c r="E58" s="15" cm="1">
        <f t="array" ref="E58">_FV(B58,"Preço")</f>
        <v>23.94</v>
      </c>
      <c r="F58" s="21">
        <f t="shared" si="20"/>
        <v>6.9705093833780263E-2</v>
      </c>
      <c r="G58" s="16">
        <f t="shared" si="21"/>
        <v>215.46</v>
      </c>
      <c r="H58" s="16">
        <v>22.38</v>
      </c>
      <c r="I58" s="17">
        <v>9</v>
      </c>
      <c r="J58" s="18">
        <f t="shared" si="22"/>
        <v>201.42</v>
      </c>
    </row>
    <row r="59" spans="1:10" x14ac:dyDescent="0.15">
      <c r="A59" s="12">
        <v>44306</v>
      </c>
      <c r="B59" s="13" t="e" vm="26">
        <v>#VALUE!</v>
      </c>
      <c r="C59" s="35" t="str" cm="1">
        <f t="array" ref="C59">_FV(B59,"Símbolo do ticker",TRUE)</f>
        <v>RBRD11</v>
      </c>
      <c r="D59" s="14">
        <f t="shared" si="19"/>
        <v>9.0759820724956253E-2</v>
      </c>
      <c r="E59" s="15" cm="1">
        <f t="array" ref="E59">_FV(B59,"Preço")</f>
        <v>62</v>
      </c>
      <c r="F59" s="21">
        <f t="shared" si="20"/>
        <v>-0.1674499798576608</v>
      </c>
      <c r="G59" s="16">
        <f t="shared" si="21"/>
        <v>744</v>
      </c>
      <c r="H59" s="16">
        <v>74.47</v>
      </c>
      <c r="I59" s="17">
        <v>12</v>
      </c>
      <c r="J59" s="18">
        <f t="shared" si="22"/>
        <v>893.64</v>
      </c>
    </row>
    <row r="60" spans="1:10" x14ac:dyDescent="0.15">
      <c r="A60" s="12">
        <v>44306</v>
      </c>
      <c r="B60" s="13" t="e" vm="27">
        <v>#VALUE!</v>
      </c>
      <c r="C60" s="35" t="str" cm="1">
        <f t="array" ref="C60">_FV(B60,"Símbolo do ticker",TRUE)</f>
        <v>WEGE3</v>
      </c>
      <c r="D60" s="14">
        <f t="shared" si="19"/>
        <v>8.9051974636045791E-2</v>
      </c>
      <c r="E60" s="15" cm="1">
        <f t="array" ref="E60">_FV(B60,"Preço")</f>
        <v>36.5</v>
      </c>
      <c r="F60" s="21">
        <f t="shared" si="20"/>
        <v>-6.6376774523596346E-2</v>
      </c>
      <c r="G60" s="16">
        <f t="shared" si="21"/>
        <v>730</v>
      </c>
      <c r="H60" s="16">
        <f>78.19/2</f>
        <v>39.094999999999999</v>
      </c>
      <c r="I60" s="17">
        <v>20</v>
      </c>
      <c r="J60" s="18">
        <f t="shared" si="22"/>
        <v>781.9</v>
      </c>
    </row>
    <row r="61" spans="1:10" x14ac:dyDescent="0.15">
      <c r="A61" s="12">
        <v>44308</v>
      </c>
      <c r="B61" s="13" t="e" vm="3">
        <v>#VALUE!</v>
      </c>
      <c r="C61" s="36" t="str" cm="1">
        <f t="array" ref="C61">_FV(B61,"Símbolo do ticker",TRUE)</f>
        <v>MYPK3</v>
      </c>
      <c r="D61" s="14">
        <f t="shared" si="19"/>
        <v>5.1308576071124462E-2</v>
      </c>
      <c r="E61" s="15" cm="1">
        <f t="array" ref="E61">_FV(B61,"Preço")</f>
        <v>14.02</v>
      </c>
      <c r="F61" s="21">
        <f t="shared" si="20"/>
        <v>2.9368575624082259E-2</v>
      </c>
      <c r="G61" s="16">
        <f t="shared" si="21"/>
        <v>420.59999999999997</v>
      </c>
      <c r="H61" s="16">
        <v>13.62</v>
      </c>
      <c r="I61" s="17">
        <v>30</v>
      </c>
      <c r="J61" s="18">
        <f t="shared" si="22"/>
        <v>408.59999999999997</v>
      </c>
    </row>
    <row r="62" spans="1:10" x14ac:dyDescent="0.15">
      <c r="A62" s="12">
        <v>44307</v>
      </c>
      <c r="B62" s="13" t="e" vm="5">
        <v>#VALUE!</v>
      </c>
      <c r="C62" s="36" t="str" cm="1">
        <f t="array" ref="C62">_FV(B62,"Símbolo do ticker",TRUE)</f>
        <v>ITSA4</v>
      </c>
      <c r="D62" s="14">
        <f t="shared" si="19"/>
        <v>3.9329255647481048E-2</v>
      </c>
      <c r="E62" s="15" cm="1">
        <f t="array" ref="E62">_FV(B62,"Preço")</f>
        <v>10.4</v>
      </c>
      <c r="F62" s="21">
        <f t="shared" si="20"/>
        <v>2.0608439646712547E-2</v>
      </c>
      <c r="G62" s="16">
        <f t="shared" si="21"/>
        <v>322.40000000000003</v>
      </c>
      <c r="H62" s="16">
        <v>10.19</v>
      </c>
      <c r="I62" s="17">
        <v>31</v>
      </c>
      <c r="J62" s="18">
        <f t="shared" si="22"/>
        <v>315.89</v>
      </c>
    </row>
    <row r="63" spans="1:10" x14ac:dyDescent="0.15">
      <c r="A63" s="12">
        <v>44308</v>
      </c>
      <c r="B63" s="13" t="e" vm="27">
        <v>#VALUE!</v>
      </c>
      <c r="C63" s="36" t="str" cm="1">
        <f t="array" ref="C63">_FV(B63,"Símbolo do ticker",TRUE)</f>
        <v>WEGE3</v>
      </c>
      <c r="D63" s="14">
        <f t="shared" ref="D63" si="23">G63/$G$64</f>
        <v>0</v>
      </c>
      <c r="E63" s="15" cm="1">
        <f t="array" ref="E63">_FV(B63,"Preço")</f>
        <v>36.5</v>
      </c>
      <c r="F63" s="21">
        <f t="shared" ref="F63" si="24">(E63-H63)/H63</f>
        <v>35.5</v>
      </c>
      <c r="G63" s="16">
        <f t="shared" ref="G63" si="25">E63*I63</f>
        <v>0</v>
      </c>
      <c r="H63" s="16">
        <v>1</v>
      </c>
      <c r="I63" s="17">
        <v>0</v>
      </c>
      <c r="J63" s="18">
        <f t="shared" ref="J63" si="26">I63*H63</f>
        <v>0</v>
      </c>
    </row>
    <row r="64" spans="1:10" x14ac:dyDescent="0.15">
      <c r="F64" s="20" t="s">
        <v>4</v>
      </c>
      <c r="G64" s="19">
        <f>SUM(G52:G63)</f>
        <v>8197.4600000000009</v>
      </c>
      <c r="H64" s="5"/>
      <c r="I64" s="20" t="s">
        <v>4</v>
      </c>
      <c r="J64" s="19">
        <f>SUM(J52:J63)</f>
        <v>8303.6</v>
      </c>
    </row>
  </sheetData>
  <mergeCells count="5">
    <mergeCell ref="A1:J1"/>
    <mergeCell ref="A17:J17"/>
    <mergeCell ref="A26:J26"/>
    <mergeCell ref="A39:J39"/>
    <mergeCell ref="A50:J50"/>
  </mergeCells>
  <conditionalFormatting sqref="G47:G48 G23 G13 G35:G36">
    <cfRule type="expression" dxfId="21" priority="10">
      <formula>G13&lt;J13</formula>
    </cfRule>
    <cfRule type="expression" dxfId="20" priority="11">
      <formula>G13&gt;J13</formula>
    </cfRule>
  </conditionalFormatting>
  <conditionalFormatting sqref="F41:F46">
    <cfRule type="expression" dxfId="19" priority="8">
      <formula>F41&lt;0</formula>
    </cfRule>
    <cfRule type="expression" dxfId="18" priority="9">
      <formula>F41&gt;0</formula>
    </cfRule>
  </conditionalFormatting>
  <conditionalFormatting sqref="G47:G48">
    <cfRule type="expression" dxfId="17" priority="7">
      <formula>G47&lt;J47</formula>
    </cfRule>
  </conditionalFormatting>
  <conditionalFormatting sqref="F3:F12 F19:F22 F28:F34 M5:S6">
    <cfRule type="expression" dxfId="16" priority="12">
      <formula>F3&lt;0</formula>
    </cfRule>
    <cfRule type="expression" dxfId="15" priority="13">
      <formula>F3&gt;0</formula>
    </cfRule>
  </conditionalFormatting>
  <conditionalFormatting sqref="M4:Q4 S4">
    <cfRule type="expression" dxfId="14" priority="5">
      <formula>M4&lt;M3</formula>
    </cfRule>
    <cfRule type="expression" dxfId="13" priority="6">
      <formula>M4&gt;M3</formula>
    </cfRule>
  </conditionalFormatting>
  <conditionalFormatting sqref="G64">
    <cfRule type="expression" dxfId="12" priority="1">
      <formula>G64&lt;J64</formula>
    </cfRule>
    <cfRule type="expression" dxfId="11" priority="2">
      <formula>G64&gt;J64</formula>
    </cfRule>
  </conditionalFormatting>
  <conditionalFormatting sqref="F52:F63">
    <cfRule type="expression" dxfId="10" priority="3">
      <formula>F52&lt;0</formula>
    </cfRule>
    <cfRule type="expression" dxfId="9" priority="4">
      <formula>F52&gt;0</formula>
    </cfRule>
  </conditionalFormatting>
  <pageMargins left="0.511811024" right="0.511811024" top="0.78740157499999996" bottom="0.78740157499999996" header="0.31496062000000002" footer="0.31496062000000002"/>
  <pageSetup paperSize="9" scale="3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320C-DF6D-44C6-A5CB-A07CD2860C26}">
  <dimension ref="A1:G38"/>
  <sheetViews>
    <sheetView workbookViewId="0">
      <selection activeCell="C3" sqref="C3"/>
    </sheetView>
  </sheetViews>
  <sheetFormatPr defaultRowHeight="15" x14ac:dyDescent="0.2"/>
  <cols>
    <col min="1" max="1" width="11.02734375" bestFit="1" customWidth="1"/>
    <col min="2" max="2" width="9.68359375" bestFit="1" customWidth="1"/>
    <col min="3" max="3" width="14.796875" bestFit="1" customWidth="1"/>
    <col min="4" max="4" width="9.4140625" bestFit="1" customWidth="1"/>
    <col min="5" max="5" width="13.71875" bestFit="1" customWidth="1"/>
    <col min="6" max="6" width="24.6171875" bestFit="1" customWidth="1"/>
    <col min="7" max="7" width="15.6015625" bestFit="1" customWidth="1"/>
  </cols>
  <sheetData>
    <row r="1" spans="1:7" x14ac:dyDescent="0.2">
      <c r="A1" t="s">
        <v>8</v>
      </c>
      <c r="B1" t="s">
        <v>9</v>
      </c>
      <c r="C1" t="s">
        <v>10</v>
      </c>
      <c r="D1" t="s">
        <v>11</v>
      </c>
      <c r="E1" t="s">
        <v>12</v>
      </c>
      <c r="F1" t="s">
        <v>13</v>
      </c>
      <c r="G1" t="s">
        <v>14</v>
      </c>
    </row>
    <row r="2" spans="1:7" x14ac:dyDescent="0.2">
      <c r="A2" s="1" t="s">
        <v>15</v>
      </c>
      <c r="B2" s="1" t="s">
        <v>16</v>
      </c>
      <c r="C2">
        <v>0.1867</v>
      </c>
      <c r="D2">
        <v>-5.0000000000000001E-4</v>
      </c>
      <c r="E2">
        <v>-2.5000000000000001E-3</v>
      </c>
      <c r="F2" s="1" t="s">
        <v>17</v>
      </c>
      <c r="G2" s="1" t="s">
        <v>17</v>
      </c>
    </row>
    <row r="3" spans="1:7" x14ac:dyDescent="0.2">
      <c r="A3" s="1" t="s">
        <v>18</v>
      </c>
      <c r="B3" s="1" t="s">
        <v>19</v>
      </c>
      <c r="C3">
        <v>0.15379999999999999</v>
      </c>
      <c r="D3">
        <v>-2.9999999999999997E-4</v>
      </c>
      <c r="E3">
        <v>-2.0999999999999999E-3</v>
      </c>
      <c r="F3" s="1" t="s">
        <v>17</v>
      </c>
      <c r="G3" s="1" t="s">
        <v>17</v>
      </c>
    </row>
    <row r="4" spans="1:7" x14ac:dyDescent="0.2">
      <c r="A4" s="1" t="s">
        <v>20</v>
      </c>
      <c r="B4" s="1" t="s">
        <v>21</v>
      </c>
      <c r="C4">
        <v>0.13370000000000001</v>
      </c>
      <c r="D4">
        <v>-4.0000000000000002E-4</v>
      </c>
      <c r="E4">
        <v>-2.7000000000000001E-3</v>
      </c>
      <c r="F4" s="1" t="s">
        <v>17</v>
      </c>
      <c r="G4" s="1" t="s">
        <v>17</v>
      </c>
    </row>
    <row r="5" spans="1:7" x14ac:dyDescent="0.2">
      <c r="A5" s="1" t="s">
        <v>22</v>
      </c>
      <c r="B5" s="1" t="s">
        <v>23</v>
      </c>
      <c r="C5">
        <v>20.338000000000001</v>
      </c>
      <c r="D5">
        <v>3.6999999999999998E-2</v>
      </c>
      <c r="E5">
        <v>1.8E-3</v>
      </c>
      <c r="F5" s="1" t="s">
        <v>17</v>
      </c>
      <c r="G5" s="1" t="s">
        <v>17</v>
      </c>
    </row>
    <row r="6" spans="1:7" x14ac:dyDescent="0.2">
      <c r="A6" s="1" t="s">
        <v>24</v>
      </c>
      <c r="B6" s="1" t="s">
        <v>25</v>
      </c>
      <c r="C6">
        <v>17.4101</v>
      </c>
      <c r="D6">
        <v>-7.3200000000000001E-2</v>
      </c>
      <c r="E6">
        <v>-4.1999999999999997E-3</v>
      </c>
      <c r="F6" s="1" t="s">
        <v>17</v>
      </c>
      <c r="G6" s="1" t="s">
        <v>17</v>
      </c>
    </row>
    <row r="7" spans="1:7" x14ac:dyDescent="0.2">
      <c r="A7" s="1" t="s">
        <v>26</v>
      </c>
      <c r="B7" s="1" t="s">
        <v>27</v>
      </c>
      <c r="C7">
        <v>13.81</v>
      </c>
      <c r="D7">
        <v>-0.05</v>
      </c>
      <c r="E7">
        <v>-3.5999999999999999E-3</v>
      </c>
      <c r="F7" s="1" t="s">
        <v>17</v>
      </c>
      <c r="G7" s="1" t="s">
        <v>17</v>
      </c>
    </row>
    <row r="8" spans="1:7" x14ac:dyDescent="0.2">
      <c r="A8" s="1" t="s">
        <v>28</v>
      </c>
      <c r="B8" s="1" t="s">
        <v>29</v>
      </c>
      <c r="C8">
        <v>0.42799999999999999</v>
      </c>
      <c r="D8">
        <v>0</v>
      </c>
      <c r="E8">
        <v>0</v>
      </c>
      <c r="F8" s="1" t="s">
        <v>17</v>
      </c>
      <c r="G8" s="1" t="s">
        <v>17</v>
      </c>
    </row>
    <row r="9" spans="1:7" x14ac:dyDescent="0.2">
      <c r="A9" s="1" t="s">
        <v>30</v>
      </c>
      <c r="B9" s="1" t="s">
        <v>31</v>
      </c>
      <c r="C9">
        <v>1.5553999999999999</v>
      </c>
      <c r="D9">
        <v>-1.5E-3</v>
      </c>
      <c r="E9">
        <v>-1E-3</v>
      </c>
      <c r="F9" s="1" t="s">
        <v>17</v>
      </c>
      <c r="G9" s="1" t="s">
        <v>17</v>
      </c>
    </row>
    <row r="10" spans="1:7" x14ac:dyDescent="0.2">
      <c r="A10" s="1" t="s">
        <v>32</v>
      </c>
      <c r="B10" s="1" t="s">
        <v>33</v>
      </c>
      <c r="C10">
        <v>1.2055</v>
      </c>
      <c r="D10">
        <v>-4.4999999999999997E-3</v>
      </c>
      <c r="E10">
        <v>-3.7000000000000002E-3</v>
      </c>
      <c r="F10" s="1" t="s">
        <v>17</v>
      </c>
      <c r="G10" s="1" t="s">
        <v>17</v>
      </c>
    </row>
    <row r="11" spans="1:7" x14ac:dyDescent="0.2">
      <c r="A11" s="1" t="s">
        <v>34</v>
      </c>
      <c r="B11" s="1" t="s">
        <v>35</v>
      </c>
      <c r="C11">
        <v>0.2394</v>
      </c>
      <c r="D11">
        <v>-5.9999999999999995E-4</v>
      </c>
      <c r="E11">
        <v>-2.5000000000000001E-3</v>
      </c>
      <c r="F11" s="1" t="s">
        <v>17</v>
      </c>
      <c r="G11" s="1" t="s">
        <v>17</v>
      </c>
    </row>
    <row r="12" spans="1:7" x14ac:dyDescent="0.2">
      <c r="A12" s="1" t="s">
        <v>36</v>
      </c>
      <c r="B12" s="1" t="s">
        <v>37</v>
      </c>
      <c r="C12">
        <v>1.2133</v>
      </c>
      <c r="D12">
        <v>4.0000000000000002E-4</v>
      </c>
      <c r="E12">
        <v>4.0000000000000002E-4</v>
      </c>
      <c r="F12" s="1" t="s">
        <v>17</v>
      </c>
      <c r="G12" s="1" t="s">
        <v>17</v>
      </c>
    </row>
    <row r="13" spans="1:7" x14ac:dyDescent="0.2">
      <c r="A13" s="1" t="s">
        <v>38</v>
      </c>
      <c r="B13" s="1" t="s">
        <v>39</v>
      </c>
      <c r="C13">
        <v>108.97</v>
      </c>
      <c r="D13">
        <v>0.373</v>
      </c>
      <c r="E13">
        <v>3.3999999999999998E-3</v>
      </c>
      <c r="F13" s="1" t="s">
        <v>17</v>
      </c>
      <c r="G13" s="1" t="s">
        <v>17</v>
      </c>
    </row>
    <row r="14" spans="1:7" x14ac:dyDescent="0.2">
      <c r="A14" s="1" t="s">
        <v>40</v>
      </c>
      <c r="B14" s="1" t="s">
        <v>41</v>
      </c>
      <c r="C14">
        <v>1.3956</v>
      </c>
      <c r="D14">
        <v>1.6999999999999999E-3</v>
      </c>
      <c r="E14">
        <v>1.1999999999999999E-3</v>
      </c>
      <c r="F14" s="1" t="s">
        <v>17</v>
      </c>
      <c r="G14" s="1" t="s">
        <v>17</v>
      </c>
    </row>
    <row r="15" spans="1:7" x14ac:dyDescent="0.2">
      <c r="A15" s="1" t="s">
        <v>42</v>
      </c>
      <c r="B15" s="1" t="s">
        <v>43</v>
      </c>
      <c r="C15">
        <v>0.90900000000000003</v>
      </c>
      <c r="D15">
        <v>-2.0000000000000001E-4</v>
      </c>
      <c r="E15">
        <v>-2.9999999999999997E-4</v>
      </c>
      <c r="F15" s="1" t="s">
        <v>17</v>
      </c>
      <c r="G15" s="1" t="s">
        <v>17</v>
      </c>
    </row>
    <row r="16" spans="1:7" x14ac:dyDescent="0.2">
      <c r="A16" s="1" t="s">
        <v>44</v>
      </c>
      <c r="B16" s="1" t="s">
        <v>45</v>
      </c>
      <c r="C16">
        <v>0.77980000000000005</v>
      </c>
      <c r="D16">
        <v>6.9999999999999999E-4</v>
      </c>
      <c r="E16">
        <v>8.9999999999999998E-4</v>
      </c>
      <c r="F16" s="1" t="s">
        <v>17</v>
      </c>
      <c r="G16" s="1" t="s">
        <v>17</v>
      </c>
    </row>
    <row r="17" spans="1:7" x14ac:dyDescent="0.2">
      <c r="A17" s="1" t="s">
        <v>46</v>
      </c>
      <c r="B17" s="1" t="s">
        <v>47</v>
      </c>
      <c r="C17">
        <v>84.956999999999994</v>
      </c>
      <c r="D17">
        <v>0.38100000000000001</v>
      </c>
      <c r="E17">
        <v>4.4999999999999997E-3</v>
      </c>
      <c r="F17" s="1" t="s">
        <v>17</v>
      </c>
      <c r="G17" s="1" t="s">
        <v>17</v>
      </c>
    </row>
    <row r="18" spans="1:7" x14ac:dyDescent="0.2">
      <c r="A18" s="1" t="s">
        <v>48</v>
      </c>
      <c r="B18" s="1" t="s">
        <v>49</v>
      </c>
      <c r="C18">
        <v>1.2285999999999999</v>
      </c>
      <c r="D18">
        <v>-2.8E-3</v>
      </c>
      <c r="E18">
        <v>-2.3E-3</v>
      </c>
      <c r="F18" s="1" t="s">
        <v>17</v>
      </c>
      <c r="G18" s="1" t="s">
        <v>17</v>
      </c>
    </row>
    <row r="19" spans="1:7" x14ac:dyDescent="0.2">
      <c r="A19" s="1" t="s">
        <v>50</v>
      </c>
      <c r="B19" s="1" t="s">
        <v>51</v>
      </c>
      <c r="C19">
        <v>0.72629999999999995</v>
      </c>
      <c r="D19">
        <v>2.9999999999999997E-4</v>
      </c>
      <c r="E19">
        <v>4.0000000000000002E-4</v>
      </c>
      <c r="F19" s="1" t="s">
        <v>17</v>
      </c>
      <c r="G19" s="1" t="s">
        <v>17</v>
      </c>
    </row>
    <row r="20" spans="1:7" x14ac:dyDescent="0.2">
      <c r="A20" s="1" t="s">
        <v>52</v>
      </c>
      <c r="B20" s="1" t="s">
        <v>53</v>
      </c>
      <c r="C20">
        <v>132.18</v>
      </c>
      <c r="D20">
        <v>0.49</v>
      </c>
      <c r="E20">
        <v>3.7000000000000002E-3</v>
      </c>
      <c r="F20" s="1" t="s">
        <v>17</v>
      </c>
      <c r="G20" s="1" t="s">
        <v>17</v>
      </c>
    </row>
    <row r="21" spans="1:7" x14ac:dyDescent="0.2">
      <c r="A21" s="1" t="s">
        <v>54</v>
      </c>
      <c r="B21" s="1" t="s">
        <v>55</v>
      </c>
      <c r="C21">
        <v>152.06800000000001</v>
      </c>
      <c r="D21">
        <v>0.749</v>
      </c>
      <c r="E21">
        <v>4.8999999999999998E-3</v>
      </c>
      <c r="F21" s="1" t="s">
        <v>17</v>
      </c>
      <c r="G21" s="1" t="s">
        <v>17</v>
      </c>
    </row>
    <row r="22" spans="1:7" x14ac:dyDescent="0.2">
      <c r="A22" s="1" t="s">
        <v>56</v>
      </c>
      <c r="B22" s="1" t="s">
        <v>57</v>
      </c>
      <c r="C22">
        <v>0.86909999999999998</v>
      </c>
      <c r="D22">
        <v>-8.9999999999999998E-4</v>
      </c>
      <c r="E22">
        <v>-1E-3</v>
      </c>
      <c r="F22" s="1" t="s">
        <v>17</v>
      </c>
      <c r="G22" s="1" t="s">
        <v>17</v>
      </c>
    </row>
    <row r="23" spans="1:7" x14ac:dyDescent="0.2">
      <c r="A23" s="1" t="s">
        <v>58</v>
      </c>
      <c r="B23" s="1" t="s">
        <v>59</v>
      </c>
      <c r="C23">
        <v>1.4901</v>
      </c>
      <c r="D23">
        <v>-2.8999999999999998E-3</v>
      </c>
      <c r="E23">
        <v>-1.9E-3</v>
      </c>
      <c r="F23" s="1" t="s">
        <v>17</v>
      </c>
      <c r="G23" s="1" t="s">
        <v>17</v>
      </c>
    </row>
    <row r="24" spans="1:7" x14ac:dyDescent="0.2">
      <c r="A24" s="1" t="s">
        <v>60</v>
      </c>
      <c r="B24" s="1" t="s">
        <v>61</v>
      </c>
      <c r="C24">
        <v>10.115399999999999</v>
      </c>
      <c r="D24">
        <v>1.1900000000000001E-2</v>
      </c>
      <c r="E24">
        <v>1.1999999999999999E-3</v>
      </c>
      <c r="F24" s="1" t="s">
        <v>17</v>
      </c>
      <c r="G24" s="1" t="s">
        <v>17</v>
      </c>
    </row>
    <row r="25" spans="1:7" x14ac:dyDescent="0.2">
      <c r="A25" s="1" t="s">
        <v>62</v>
      </c>
      <c r="B25" s="1" t="s">
        <v>63</v>
      </c>
      <c r="C25">
        <v>1.1021000000000001</v>
      </c>
      <c r="D25">
        <v>-4.0000000000000002E-4</v>
      </c>
      <c r="E25">
        <v>-2.9999999999999997E-4</v>
      </c>
      <c r="F25" s="1" t="s">
        <v>17</v>
      </c>
      <c r="G25" s="1" t="s">
        <v>17</v>
      </c>
    </row>
    <row r="26" spans="1:7" x14ac:dyDescent="0.2">
      <c r="A26" s="1" t="s">
        <v>64</v>
      </c>
      <c r="B26" s="1" t="s">
        <v>65</v>
      </c>
      <c r="C26">
        <v>360.37</v>
      </c>
      <c r="D26">
        <v>-1.21</v>
      </c>
      <c r="E26">
        <v>-3.3E-3</v>
      </c>
      <c r="F26" s="1" t="s">
        <v>17</v>
      </c>
      <c r="G26" s="1" t="s">
        <v>17</v>
      </c>
    </row>
    <row r="27" spans="1:7" x14ac:dyDescent="0.2">
      <c r="A27" s="1" t="s">
        <v>52</v>
      </c>
      <c r="B27" s="1" t="s">
        <v>53</v>
      </c>
      <c r="C27">
        <v>132.18</v>
      </c>
      <c r="D27">
        <v>0.49</v>
      </c>
      <c r="E27">
        <v>3.7000000000000002E-3</v>
      </c>
      <c r="F27" s="1" t="s">
        <v>17</v>
      </c>
      <c r="G27" s="1" t="s">
        <v>17</v>
      </c>
    </row>
    <row r="28" spans="1:7" x14ac:dyDescent="0.2">
      <c r="A28" s="1" t="s">
        <v>66</v>
      </c>
      <c r="B28" s="1" t="s">
        <v>67</v>
      </c>
      <c r="C28">
        <v>6.4691000000000001</v>
      </c>
      <c r="D28">
        <v>-9.7000000000000003E-3</v>
      </c>
      <c r="E28">
        <v>-1.5E-3</v>
      </c>
      <c r="F28" s="1" t="s">
        <v>17</v>
      </c>
      <c r="G28" s="1" t="s">
        <v>17</v>
      </c>
    </row>
    <row r="29" spans="1:7" x14ac:dyDescent="0.2">
      <c r="A29" s="1" t="s">
        <v>68</v>
      </c>
      <c r="B29" s="1" t="s">
        <v>69</v>
      </c>
      <c r="C29">
        <v>7.7625000000000002</v>
      </c>
      <c r="D29">
        <v>-2.0000000000000001E-4</v>
      </c>
      <c r="E29">
        <v>0</v>
      </c>
      <c r="F29" s="1" t="s">
        <v>17</v>
      </c>
      <c r="G29" s="1" t="s">
        <v>17</v>
      </c>
    </row>
    <row r="30" spans="1:7" x14ac:dyDescent="0.2">
      <c r="A30" s="1" t="s">
        <v>70</v>
      </c>
      <c r="B30" s="1" t="s">
        <v>71</v>
      </c>
      <c r="C30">
        <v>1.3249</v>
      </c>
      <c r="D30">
        <v>0</v>
      </c>
      <c r="E30">
        <v>0</v>
      </c>
      <c r="F30" s="1" t="s">
        <v>17</v>
      </c>
      <c r="G30" s="1" t="s">
        <v>17</v>
      </c>
    </row>
    <row r="31" spans="1:7" x14ac:dyDescent="0.2">
      <c r="A31" s="1" t="s">
        <v>72</v>
      </c>
      <c r="B31" s="1" t="s">
        <v>73</v>
      </c>
      <c r="C31">
        <v>74.066999999999993</v>
      </c>
      <c r="D31">
        <v>-0.42199999999999999</v>
      </c>
      <c r="E31">
        <v>-5.7000000000000002E-3</v>
      </c>
      <c r="F31" s="1" t="s">
        <v>17</v>
      </c>
      <c r="G31" s="1" t="s">
        <v>17</v>
      </c>
    </row>
    <row r="32" spans="1:7" x14ac:dyDescent="0.2">
      <c r="A32" s="1" t="s">
        <v>74</v>
      </c>
      <c r="B32" s="1" t="s">
        <v>75</v>
      </c>
      <c r="C32">
        <v>19.977799999999998</v>
      </c>
      <c r="D32">
        <v>7.6799999999999993E-2</v>
      </c>
      <c r="E32">
        <v>3.8999999999999998E-3</v>
      </c>
      <c r="F32" s="1" t="s">
        <v>17</v>
      </c>
      <c r="G32" s="1" t="s">
        <v>17</v>
      </c>
    </row>
    <row r="33" spans="1:7" x14ac:dyDescent="0.2">
      <c r="A33" s="1" t="s">
        <v>76</v>
      </c>
      <c r="B33" s="1" t="s">
        <v>77</v>
      </c>
      <c r="C33">
        <v>48.347999999999999</v>
      </c>
      <c r="D33">
        <v>-0.13300000000000001</v>
      </c>
      <c r="E33">
        <v>-2.7000000000000001E-3</v>
      </c>
      <c r="F33" s="1" t="s">
        <v>17</v>
      </c>
      <c r="G33" s="1" t="s">
        <v>17</v>
      </c>
    </row>
    <row r="34" spans="1:7" x14ac:dyDescent="0.2">
      <c r="A34" s="1" t="s">
        <v>78</v>
      </c>
      <c r="B34" s="1" t="s">
        <v>79</v>
      </c>
      <c r="C34">
        <v>14465</v>
      </c>
      <c r="D34">
        <v>-40</v>
      </c>
      <c r="E34">
        <v>-2.8E-3</v>
      </c>
      <c r="F34" s="1" t="s">
        <v>17</v>
      </c>
      <c r="G34" s="1" t="s">
        <v>17</v>
      </c>
    </row>
    <row r="35" spans="1:7" x14ac:dyDescent="0.2">
      <c r="A35" s="1" t="s">
        <v>80</v>
      </c>
      <c r="B35" s="1" t="s">
        <v>81</v>
      </c>
      <c r="C35">
        <v>31.193999999999999</v>
      </c>
      <c r="D35">
        <v>-0.156</v>
      </c>
      <c r="E35">
        <v>-5.0000000000000001E-3</v>
      </c>
      <c r="F35" s="1" t="s">
        <v>17</v>
      </c>
      <c r="G35" s="1" t="s">
        <v>17</v>
      </c>
    </row>
    <row r="36" spans="1:7" x14ac:dyDescent="0.2">
      <c r="A36" s="1" t="s">
        <v>82</v>
      </c>
      <c r="B36" s="1" t="s">
        <v>83</v>
      </c>
      <c r="C36">
        <v>4.0999999999999996</v>
      </c>
      <c r="D36">
        <v>0</v>
      </c>
      <c r="E36">
        <v>0</v>
      </c>
      <c r="F36" s="1" t="s">
        <v>17</v>
      </c>
      <c r="G36" s="1" t="s">
        <v>17</v>
      </c>
    </row>
    <row r="37" spans="1:7" x14ac:dyDescent="0.2">
      <c r="A37" s="1" t="s">
        <v>84</v>
      </c>
      <c r="B37" s="1" t="s">
        <v>85</v>
      </c>
      <c r="C37">
        <v>14.2354</v>
      </c>
      <c r="D37">
        <v>6.1000000000000004E-3</v>
      </c>
      <c r="E37">
        <v>4.0000000000000002E-4</v>
      </c>
      <c r="F37" s="1" t="s">
        <v>17</v>
      </c>
      <c r="G37" s="1" t="s">
        <v>17</v>
      </c>
    </row>
    <row r="38" spans="1:7" x14ac:dyDescent="0.2">
      <c r="A38" s="1" t="s">
        <v>86</v>
      </c>
      <c r="B38" s="1" t="s">
        <v>87</v>
      </c>
      <c r="C38">
        <v>74.243700000000004</v>
      </c>
      <c r="D38">
        <v>-0.13350000000000001</v>
      </c>
      <c r="E38">
        <v>-1.8E-3</v>
      </c>
      <c r="F38" s="1" t="s">
        <v>17</v>
      </c>
      <c r="G38" s="1" t="s">
        <v>17</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50ED-A119-45E6-8C7D-AA53757119DA}">
  <dimension ref="A1:J101"/>
  <sheetViews>
    <sheetView topLeftCell="A37" workbookViewId="0">
      <selection activeCell="G2" sqref="G2"/>
    </sheetView>
  </sheetViews>
  <sheetFormatPr defaultRowHeight="15" x14ac:dyDescent="0.2"/>
  <cols>
    <col min="1" max="1" width="4.3046875" bestFit="1" customWidth="1"/>
    <col min="2" max="2" width="11.1640625" bestFit="1" customWidth="1"/>
    <col min="3" max="3" width="24.88671875" bestFit="1" customWidth="1"/>
    <col min="4" max="4" width="9.4140625" bestFit="1" customWidth="1"/>
    <col min="5" max="5" width="13.85546875" bestFit="1" customWidth="1"/>
    <col min="6" max="6" width="14.796875" bestFit="1" customWidth="1"/>
    <col min="7" max="7" width="11.8359375" bestFit="1" customWidth="1"/>
    <col min="8" max="8" width="11.703125" bestFit="1" customWidth="1"/>
    <col min="9" max="9" width="11.296875" bestFit="1" customWidth="1"/>
    <col min="10" max="10" width="10.22265625" bestFit="1" customWidth="1"/>
  </cols>
  <sheetData>
    <row r="1" spans="1:10" x14ac:dyDescent="0.2">
      <c r="A1" t="s">
        <v>97</v>
      </c>
      <c r="B1" t="s">
        <v>98</v>
      </c>
      <c r="C1" t="s">
        <v>9</v>
      </c>
      <c r="D1" t="s">
        <v>99</v>
      </c>
      <c r="E1" t="s">
        <v>100</v>
      </c>
      <c r="F1" t="s">
        <v>101</v>
      </c>
      <c r="G1" t="s">
        <v>102</v>
      </c>
      <c r="H1" t="s">
        <v>103</v>
      </c>
      <c r="I1" t="s">
        <v>104</v>
      </c>
      <c r="J1" t="s">
        <v>105</v>
      </c>
    </row>
    <row r="2" spans="1:10" x14ac:dyDescent="0.2">
      <c r="A2">
        <v>1</v>
      </c>
      <c r="B2" s="1" t="s">
        <v>17</v>
      </c>
      <c r="C2" s="1" t="s">
        <v>106</v>
      </c>
      <c r="D2" s="1" t="s">
        <v>94</v>
      </c>
      <c r="E2">
        <v>54380.6</v>
      </c>
      <c r="F2" s="1" t="s">
        <v>315</v>
      </c>
      <c r="G2" s="1" t="s">
        <v>347</v>
      </c>
      <c r="H2">
        <v>0.3291</v>
      </c>
      <c r="I2">
        <v>-8.6999999999999994E-3</v>
      </c>
      <c r="J2">
        <v>-9.4999999999999998E-3</v>
      </c>
    </row>
    <row r="3" spans="1:10" x14ac:dyDescent="0.2">
      <c r="A3">
        <v>2</v>
      </c>
      <c r="B3" s="1" t="s">
        <v>17</v>
      </c>
      <c r="C3" s="1" t="s">
        <v>107</v>
      </c>
      <c r="D3" s="1" t="s">
        <v>108</v>
      </c>
      <c r="E3">
        <v>2788.24</v>
      </c>
      <c r="F3" s="1" t="s">
        <v>348</v>
      </c>
      <c r="G3" s="1" t="s">
        <v>349</v>
      </c>
      <c r="H3">
        <v>0.2387</v>
      </c>
      <c r="I3">
        <v>3.5700000000000003E-2</v>
      </c>
      <c r="J3">
        <v>7.8200000000000006E-2</v>
      </c>
    </row>
    <row r="4" spans="1:10" x14ac:dyDescent="0.2">
      <c r="A4">
        <v>3</v>
      </c>
      <c r="B4" s="1" t="s">
        <v>17</v>
      </c>
      <c r="C4" s="1" t="s">
        <v>109</v>
      </c>
      <c r="D4" s="1" t="s">
        <v>110</v>
      </c>
      <c r="E4">
        <v>601.16999999999996</v>
      </c>
      <c r="F4" s="1" t="s">
        <v>350</v>
      </c>
      <c r="G4" s="1" t="s">
        <v>351</v>
      </c>
      <c r="H4">
        <v>3.6700000000000003E-2</v>
      </c>
      <c r="I4">
        <v>7.3200000000000001E-2</v>
      </c>
      <c r="J4">
        <v>4.9399999999999999E-2</v>
      </c>
    </row>
    <row r="5" spans="1:10" x14ac:dyDescent="0.2">
      <c r="A5">
        <v>4</v>
      </c>
      <c r="B5" s="1" t="s">
        <v>17</v>
      </c>
      <c r="C5" s="1" t="s">
        <v>111</v>
      </c>
      <c r="D5" s="1" t="s">
        <v>95</v>
      </c>
      <c r="E5">
        <v>1.4019900000000001</v>
      </c>
      <c r="F5" s="1" t="s">
        <v>352</v>
      </c>
      <c r="G5" s="1" t="s">
        <v>353</v>
      </c>
      <c r="H5">
        <v>5.9400000000000001E-2</v>
      </c>
      <c r="I5">
        <v>2.6200000000000001E-2</v>
      </c>
      <c r="J5">
        <v>5.3699999999999998E-2</v>
      </c>
    </row>
    <row r="6" spans="1:10" x14ac:dyDescent="0.2">
      <c r="A6">
        <v>5</v>
      </c>
      <c r="B6" s="1" t="s">
        <v>17</v>
      </c>
      <c r="C6" s="1" t="s">
        <v>112</v>
      </c>
      <c r="D6" s="1" t="s">
        <v>113</v>
      </c>
      <c r="E6">
        <v>1.0005999999999999</v>
      </c>
      <c r="F6" s="1" t="s">
        <v>354</v>
      </c>
      <c r="G6" s="1" t="s">
        <v>355</v>
      </c>
      <c r="H6">
        <v>0.69010000000000005</v>
      </c>
      <c r="I6">
        <v>2.0000000000000001E-4</v>
      </c>
      <c r="J6">
        <v>2.0000000000000001E-4</v>
      </c>
    </row>
    <row r="7" spans="1:10" x14ac:dyDescent="0.2">
      <c r="A7">
        <v>6</v>
      </c>
      <c r="B7" s="1" t="s">
        <v>17</v>
      </c>
      <c r="C7" s="1" t="s">
        <v>116</v>
      </c>
      <c r="D7" s="1" t="s">
        <v>117</v>
      </c>
      <c r="E7">
        <v>1.3920870000000001</v>
      </c>
      <c r="F7" s="1" t="s">
        <v>356</v>
      </c>
      <c r="G7" s="1" t="s">
        <v>357</v>
      </c>
      <c r="H7">
        <v>2.5399999999999999E-2</v>
      </c>
      <c r="I7">
        <v>7.3300000000000004E-2</v>
      </c>
      <c r="J7">
        <v>0.12989999999999999</v>
      </c>
    </row>
    <row r="8" spans="1:10" x14ac:dyDescent="0.2">
      <c r="A8">
        <v>7</v>
      </c>
      <c r="B8" s="1" t="s">
        <v>17</v>
      </c>
      <c r="C8" s="1" t="s">
        <v>114</v>
      </c>
      <c r="D8" s="1" t="s">
        <v>115</v>
      </c>
      <c r="E8">
        <v>0.30692000000000003</v>
      </c>
      <c r="F8" s="1" t="s">
        <v>358</v>
      </c>
      <c r="G8" s="1" t="s">
        <v>359</v>
      </c>
      <c r="H8">
        <v>5.5899999999999998E-2</v>
      </c>
      <c r="I8">
        <v>-3.61E-2</v>
      </c>
      <c r="J8">
        <v>0.1588</v>
      </c>
    </row>
    <row r="9" spans="1:10" x14ac:dyDescent="0.2">
      <c r="A9">
        <v>8</v>
      </c>
      <c r="B9" s="1" t="s">
        <v>17</v>
      </c>
      <c r="C9" s="1" t="s">
        <v>118</v>
      </c>
      <c r="D9" s="1" t="s">
        <v>119</v>
      </c>
      <c r="E9">
        <v>34.265999999999998</v>
      </c>
      <c r="F9" s="1" t="s">
        <v>360</v>
      </c>
      <c r="G9" s="1" t="s">
        <v>361</v>
      </c>
      <c r="H9">
        <v>1.1299999999999999E-2</v>
      </c>
      <c r="I9">
        <v>1.72E-2</v>
      </c>
      <c r="J9">
        <v>-3.15E-2</v>
      </c>
    </row>
    <row r="10" spans="1:10" x14ac:dyDescent="0.2">
      <c r="A10">
        <v>9</v>
      </c>
      <c r="B10" s="1" t="s">
        <v>17</v>
      </c>
      <c r="C10" s="1" t="s">
        <v>124</v>
      </c>
      <c r="D10" s="1" t="s">
        <v>125</v>
      </c>
      <c r="E10">
        <v>42.598999999999997</v>
      </c>
      <c r="F10" s="1" t="s">
        <v>362</v>
      </c>
      <c r="G10" s="1" t="s">
        <v>363</v>
      </c>
      <c r="H10">
        <v>9.4000000000000004E-3</v>
      </c>
      <c r="I10">
        <v>1.72E-2</v>
      </c>
      <c r="J10">
        <v>0.1176</v>
      </c>
    </row>
    <row r="11" spans="1:10" x14ac:dyDescent="0.2">
      <c r="A11">
        <v>10</v>
      </c>
      <c r="B11" s="1" t="s">
        <v>17</v>
      </c>
      <c r="C11" s="1" t="s">
        <v>122</v>
      </c>
      <c r="D11" s="1" t="s">
        <v>123</v>
      </c>
      <c r="E11">
        <v>260.94099999999997</v>
      </c>
      <c r="F11" s="1" t="s">
        <v>364</v>
      </c>
      <c r="G11" s="1" t="s">
        <v>365</v>
      </c>
      <c r="H11">
        <v>2.7E-2</v>
      </c>
      <c r="I11">
        <v>2.0400000000000001E-2</v>
      </c>
      <c r="J11">
        <v>-8.2000000000000003E-2</v>
      </c>
    </row>
    <row r="12" spans="1:10" x14ac:dyDescent="0.2">
      <c r="A12">
        <v>11</v>
      </c>
      <c r="B12" s="1" t="s">
        <v>17</v>
      </c>
      <c r="C12" s="1" t="s">
        <v>120</v>
      </c>
      <c r="D12" s="1" t="s">
        <v>121</v>
      </c>
      <c r="E12">
        <v>900.03</v>
      </c>
      <c r="F12" s="1" t="s">
        <v>366</v>
      </c>
      <c r="G12" s="1" t="s">
        <v>367</v>
      </c>
      <c r="H12">
        <v>2.2100000000000002E-2</v>
      </c>
      <c r="I12">
        <v>1.7000000000000001E-2</v>
      </c>
      <c r="J12">
        <v>-5.5399999999999998E-2</v>
      </c>
    </row>
    <row r="13" spans="1:10" x14ac:dyDescent="0.2">
      <c r="A13">
        <v>12</v>
      </c>
      <c r="B13" s="1" t="s">
        <v>17</v>
      </c>
      <c r="C13" s="1" t="s">
        <v>126</v>
      </c>
      <c r="D13" s="1" t="s">
        <v>127</v>
      </c>
      <c r="E13">
        <v>37.17</v>
      </c>
      <c r="F13" s="1" t="s">
        <v>368</v>
      </c>
      <c r="G13" s="1" t="s">
        <v>369</v>
      </c>
      <c r="H13">
        <v>9.5999999999999992E-3</v>
      </c>
      <c r="I13">
        <v>2.29E-2</v>
      </c>
      <c r="J13">
        <v>-5.2600000000000001E-2</v>
      </c>
    </row>
    <row r="14" spans="1:10" x14ac:dyDescent="0.2">
      <c r="A14">
        <v>13</v>
      </c>
      <c r="B14" s="1" t="s">
        <v>17</v>
      </c>
      <c r="C14" s="1" t="s">
        <v>128</v>
      </c>
      <c r="D14" s="1" t="s">
        <v>129</v>
      </c>
      <c r="E14">
        <v>0.19423699999999999</v>
      </c>
      <c r="F14" s="1" t="s">
        <v>370</v>
      </c>
      <c r="G14" s="1" t="s">
        <v>371</v>
      </c>
      <c r="H14">
        <v>1.4800000000000001E-2</v>
      </c>
      <c r="I14">
        <v>-2.9399999999999999E-2</v>
      </c>
      <c r="J14">
        <v>-0.13980000000000001</v>
      </c>
    </row>
    <row r="15" spans="1:10" x14ac:dyDescent="0.2">
      <c r="A15">
        <v>14</v>
      </c>
      <c r="B15" s="1" t="s">
        <v>17</v>
      </c>
      <c r="C15" s="1" t="s">
        <v>141</v>
      </c>
      <c r="D15" s="1" t="s">
        <v>142</v>
      </c>
      <c r="E15">
        <v>44.131</v>
      </c>
      <c r="F15" s="1" t="s">
        <v>372</v>
      </c>
      <c r="G15" s="1" t="s">
        <v>373</v>
      </c>
      <c r="H15">
        <v>6.8999999999999999E-3</v>
      </c>
      <c r="I15">
        <v>3.0000000000000001E-3</v>
      </c>
      <c r="J15">
        <v>0.1938</v>
      </c>
    </row>
    <row r="16" spans="1:10" x14ac:dyDescent="0.2">
      <c r="A16">
        <v>15</v>
      </c>
      <c r="B16" s="1" t="s">
        <v>17</v>
      </c>
      <c r="C16" s="1" t="s">
        <v>130</v>
      </c>
      <c r="D16" s="1" t="s">
        <v>131</v>
      </c>
      <c r="E16">
        <v>0.50255000000000005</v>
      </c>
      <c r="F16" s="1" t="s">
        <v>374</v>
      </c>
      <c r="G16" s="1" t="s">
        <v>375</v>
      </c>
      <c r="H16">
        <v>6.7999999999999996E-3</v>
      </c>
      <c r="I16">
        <v>1.35E-2</v>
      </c>
      <c r="J16">
        <v>3.7000000000000002E-3</v>
      </c>
    </row>
    <row r="17" spans="1:10" x14ac:dyDescent="0.2">
      <c r="A17">
        <v>16</v>
      </c>
      <c r="B17" s="1" t="s">
        <v>17</v>
      </c>
      <c r="C17" s="1" t="s">
        <v>132</v>
      </c>
      <c r="D17" s="1" t="s">
        <v>133</v>
      </c>
      <c r="E17">
        <v>0.99918700000000005</v>
      </c>
      <c r="F17" s="1" t="s">
        <v>304</v>
      </c>
      <c r="G17" s="1" t="s">
        <v>376</v>
      </c>
      <c r="H17">
        <v>1.38E-2</v>
      </c>
      <c r="I17">
        <v>-4.0000000000000002E-4</v>
      </c>
      <c r="J17">
        <v>2.9999999999999997E-4</v>
      </c>
    </row>
    <row r="18" spans="1:10" x14ac:dyDescent="0.2">
      <c r="A18">
        <v>17</v>
      </c>
      <c r="B18" s="1" t="s">
        <v>17</v>
      </c>
      <c r="C18" s="1" t="s">
        <v>134</v>
      </c>
      <c r="D18" s="1" t="s">
        <v>134</v>
      </c>
      <c r="E18">
        <v>11.2</v>
      </c>
      <c r="F18" s="1" t="s">
        <v>377</v>
      </c>
      <c r="G18" s="1" t="s">
        <v>378</v>
      </c>
      <c r="H18">
        <v>2.2000000000000001E-3</v>
      </c>
      <c r="I18">
        <v>7.4000000000000003E-3</v>
      </c>
      <c r="J18">
        <v>8.0000000000000002E-3</v>
      </c>
    </row>
    <row r="19" spans="1:10" x14ac:dyDescent="0.2">
      <c r="A19">
        <v>18</v>
      </c>
      <c r="B19" s="1" t="s">
        <v>17</v>
      </c>
      <c r="C19" s="1" t="s">
        <v>135</v>
      </c>
      <c r="D19" s="1" t="s">
        <v>136</v>
      </c>
      <c r="E19">
        <v>151.44999999999999</v>
      </c>
      <c r="F19" s="1" t="s">
        <v>379</v>
      </c>
      <c r="G19" s="1" t="s">
        <v>380</v>
      </c>
      <c r="H19">
        <v>6.7000000000000002E-3</v>
      </c>
      <c r="I19">
        <v>2.5000000000000001E-3</v>
      </c>
      <c r="J19">
        <v>1.2999999999999999E-2</v>
      </c>
    </row>
    <row r="20" spans="1:10" x14ac:dyDescent="0.2">
      <c r="A20">
        <v>19</v>
      </c>
      <c r="B20" s="1" t="s">
        <v>17</v>
      </c>
      <c r="C20" s="1" t="s">
        <v>137</v>
      </c>
      <c r="D20" s="1" t="s">
        <v>138</v>
      </c>
      <c r="E20">
        <v>0.124135</v>
      </c>
      <c r="F20" s="1" t="s">
        <v>381</v>
      </c>
      <c r="G20" s="1" t="s">
        <v>382</v>
      </c>
      <c r="H20">
        <v>1.44E-2</v>
      </c>
      <c r="I20">
        <v>1.38E-2</v>
      </c>
      <c r="J20">
        <v>-7.9000000000000008E-3</v>
      </c>
    </row>
    <row r="21" spans="1:10" x14ac:dyDescent="0.2">
      <c r="A21">
        <v>20</v>
      </c>
      <c r="B21" s="1" t="s">
        <v>17</v>
      </c>
      <c r="C21" s="1" t="s">
        <v>139</v>
      </c>
      <c r="D21" s="1" t="s">
        <v>140</v>
      </c>
      <c r="E21">
        <v>54410.01</v>
      </c>
      <c r="F21" s="1" t="s">
        <v>383</v>
      </c>
      <c r="G21" s="1" t="s">
        <v>384</v>
      </c>
      <c r="H21">
        <v>2E-3</v>
      </c>
      <c r="I21">
        <v>-1.4200000000000001E-2</v>
      </c>
      <c r="J21">
        <v>-1.1599999999999999E-2</v>
      </c>
    </row>
    <row r="22" spans="1:10" x14ac:dyDescent="0.2">
      <c r="A22">
        <v>21</v>
      </c>
      <c r="B22" s="1" t="s">
        <v>17</v>
      </c>
      <c r="C22" s="1" t="s">
        <v>145</v>
      </c>
      <c r="D22" s="1" t="s">
        <v>146</v>
      </c>
      <c r="E22">
        <v>419.11200000000002</v>
      </c>
      <c r="F22" s="1" t="s">
        <v>326</v>
      </c>
      <c r="G22" s="1" t="s">
        <v>385</v>
      </c>
      <c r="H22">
        <v>4.7999999999999996E-3</v>
      </c>
      <c r="I22">
        <v>-4.1200000000000001E-2</v>
      </c>
      <c r="J22">
        <v>8.8700000000000001E-2</v>
      </c>
    </row>
    <row r="23" spans="1:10" x14ac:dyDescent="0.2">
      <c r="A23">
        <v>22</v>
      </c>
      <c r="B23" s="1" t="s">
        <v>17</v>
      </c>
      <c r="C23" s="1" t="s">
        <v>157</v>
      </c>
      <c r="D23" s="1" t="s">
        <v>158</v>
      </c>
      <c r="E23">
        <v>0.99909999999999999</v>
      </c>
      <c r="F23" s="1" t="s">
        <v>310</v>
      </c>
      <c r="G23" s="1" t="s">
        <v>386</v>
      </c>
      <c r="H23">
        <v>5.3999999999999999E-2</v>
      </c>
      <c r="I23">
        <v>-2.9999999999999997E-4</v>
      </c>
      <c r="J23">
        <v>2.0000000000000001E-4</v>
      </c>
    </row>
    <row r="24" spans="1:10" x14ac:dyDescent="0.2">
      <c r="A24">
        <v>23</v>
      </c>
      <c r="B24" s="1" t="s">
        <v>17</v>
      </c>
      <c r="C24" s="1" t="s">
        <v>176</v>
      </c>
      <c r="D24" s="1" t="s">
        <v>177</v>
      </c>
      <c r="E24">
        <v>42.863999999999997</v>
      </c>
      <c r="F24" s="1" t="s">
        <v>387</v>
      </c>
      <c r="G24" s="1" t="s">
        <v>388</v>
      </c>
      <c r="H24">
        <v>7.7999999999999996E-3</v>
      </c>
      <c r="I24">
        <v>0.191</v>
      </c>
      <c r="J24">
        <v>0.52929999999999999</v>
      </c>
    </row>
    <row r="25" spans="1:10" x14ac:dyDescent="0.2">
      <c r="A25">
        <v>24</v>
      </c>
      <c r="B25" s="1" t="s">
        <v>17</v>
      </c>
      <c r="C25" s="1" t="s">
        <v>147</v>
      </c>
      <c r="D25" s="1" t="s">
        <v>147</v>
      </c>
      <c r="E25">
        <v>1.506</v>
      </c>
      <c r="F25" s="1" t="s">
        <v>148</v>
      </c>
      <c r="G25" s="1" t="s">
        <v>149</v>
      </c>
      <c r="H25">
        <v>1E-4</v>
      </c>
      <c r="I25">
        <v>3.5799999999999998E-2</v>
      </c>
      <c r="J25">
        <v>-0.31319999999999998</v>
      </c>
    </row>
    <row r="26" spans="1:10" x14ac:dyDescent="0.2">
      <c r="A26">
        <v>25</v>
      </c>
      <c r="B26" s="1" t="s">
        <v>17</v>
      </c>
      <c r="C26" s="1" t="s">
        <v>161</v>
      </c>
      <c r="D26" s="1" t="s">
        <v>162</v>
      </c>
      <c r="E26">
        <v>16.777000000000001</v>
      </c>
      <c r="F26" s="1" t="s">
        <v>389</v>
      </c>
      <c r="G26" s="1" t="s">
        <v>390</v>
      </c>
      <c r="H26">
        <v>2.7000000000000001E-3</v>
      </c>
      <c r="I26">
        <v>-4.3200000000000002E-2</v>
      </c>
      <c r="J26">
        <v>0.12989999999999999</v>
      </c>
    </row>
    <row r="27" spans="1:10" x14ac:dyDescent="0.2">
      <c r="A27">
        <v>26</v>
      </c>
      <c r="B27" s="1" t="s">
        <v>17</v>
      </c>
      <c r="C27" s="1" t="s">
        <v>143</v>
      </c>
      <c r="D27" s="1" t="s">
        <v>144</v>
      </c>
      <c r="E27">
        <v>91.679599999999994</v>
      </c>
      <c r="F27" s="1" t="s">
        <v>340</v>
      </c>
      <c r="G27" s="1" t="s">
        <v>391</v>
      </c>
      <c r="H27">
        <v>7.4000000000000003E-3</v>
      </c>
      <c r="I27">
        <v>7.9000000000000008E-3</v>
      </c>
      <c r="J27">
        <v>-9.8699999999999996E-2</v>
      </c>
    </row>
    <row r="28" spans="1:10" x14ac:dyDescent="0.2">
      <c r="A28">
        <v>27</v>
      </c>
      <c r="B28" s="1" t="s">
        <v>17</v>
      </c>
      <c r="C28" s="1" t="s">
        <v>153</v>
      </c>
      <c r="D28" s="1" t="s">
        <v>154</v>
      </c>
      <c r="E28">
        <v>2.1469399999999998</v>
      </c>
      <c r="F28" s="1" t="s">
        <v>341</v>
      </c>
      <c r="G28" s="1" t="s">
        <v>392</v>
      </c>
      <c r="H28">
        <v>1.4E-3</v>
      </c>
      <c r="I28">
        <v>1.1000000000000001E-3</v>
      </c>
      <c r="J28">
        <v>1.9E-2</v>
      </c>
    </row>
    <row r="29" spans="1:10" x14ac:dyDescent="0.2">
      <c r="A29">
        <v>28</v>
      </c>
      <c r="B29" s="1" t="s">
        <v>17</v>
      </c>
      <c r="C29" s="1" t="s">
        <v>151</v>
      </c>
      <c r="D29" s="1" t="s">
        <v>152</v>
      </c>
      <c r="E29">
        <v>2.4249999999999998</v>
      </c>
      <c r="F29" s="1" t="s">
        <v>393</v>
      </c>
      <c r="G29" s="1" t="s">
        <v>394</v>
      </c>
      <c r="H29">
        <v>8.9999999999999998E-4</v>
      </c>
      <c r="I29">
        <v>-1.1999999999999999E-3</v>
      </c>
      <c r="J29">
        <v>-1.6999999999999999E-3</v>
      </c>
    </row>
    <row r="30" spans="1:10" x14ac:dyDescent="0.2">
      <c r="A30">
        <v>29</v>
      </c>
      <c r="B30" s="1" t="s">
        <v>17</v>
      </c>
      <c r="C30" s="1" t="s">
        <v>167</v>
      </c>
      <c r="D30" s="1" t="s">
        <v>168</v>
      </c>
      <c r="E30">
        <v>459.94</v>
      </c>
      <c r="F30" s="1" t="s">
        <v>395</v>
      </c>
      <c r="G30" s="1" t="s">
        <v>396</v>
      </c>
      <c r="H30">
        <v>6.4000000000000003E-3</v>
      </c>
      <c r="I30">
        <v>-3.7400000000000003E-2</v>
      </c>
      <c r="J30">
        <v>0.1404</v>
      </c>
    </row>
    <row r="31" spans="1:10" x14ac:dyDescent="0.2">
      <c r="A31">
        <v>30</v>
      </c>
      <c r="B31" s="1" t="s">
        <v>17</v>
      </c>
      <c r="C31" s="1" t="s">
        <v>150</v>
      </c>
      <c r="D31" s="1" t="s">
        <v>150</v>
      </c>
      <c r="E31">
        <v>5.9596999999999998</v>
      </c>
      <c r="F31" s="1" t="s">
        <v>397</v>
      </c>
      <c r="G31" s="1" t="s">
        <v>398</v>
      </c>
      <c r="H31">
        <v>1.1599999999999999E-2</v>
      </c>
      <c r="I31">
        <v>-3.3999999999999998E-3</v>
      </c>
      <c r="J31">
        <v>-0.1065</v>
      </c>
    </row>
    <row r="32" spans="1:10" x14ac:dyDescent="0.2">
      <c r="A32">
        <v>31</v>
      </c>
      <c r="B32" s="1" t="s">
        <v>17</v>
      </c>
      <c r="C32" s="1" t="s">
        <v>155</v>
      </c>
      <c r="D32" s="1" t="s">
        <v>156</v>
      </c>
      <c r="E32">
        <v>288.2</v>
      </c>
      <c r="F32" s="1" t="s">
        <v>399</v>
      </c>
      <c r="G32" s="1" t="s">
        <v>334</v>
      </c>
      <c r="H32">
        <v>8.5000000000000006E-3</v>
      </c>
      <c r="I32">
        <v>1.9400000000000001E-2</v>
      </c>
      <c r="J32">
        <v>-6.3299999999999995E-2</v>
      </c>
    </row>
    <row r="33" spans="1:10" x14ac:dyDescent="0.2">
      <c r="A33">
        <v>32</v>
      </c>
      <c r="B33" s="1" t="s">
        <v>17</v>
      </c>
      <c r="C33" s="1" t="s">
        <v>165</v>
      </c>
      <c r="D33" s="1" t="s">
        <v>166</v>
      </c>
      <c r="E33">
        <v>53.827300000000001</v>
      </c>
      <c r="F33" s="1" t="s">
        <v>400</v>
      </c>
      <c r="G33" s="1" t="s">
        <v>401</v>
      </c>
      <c r="H33">
        <v>8.0000000000000004E-4</v>
      </c>
      <c r="I33">
        <v>5.7000000000000002E-3</v>
      </c>
      <c r="J33">
        <v>1.78E-2</v>
      </c>
    </row>
    <row r="34" spans="1:10" x14ac:dyDescent="0.2">
      <c r="A34">
        <v>33</v>
      </c>
      <c r="B34" s="1" t="s">
        <v>17</v>
      </c>
      <c r="C34" s="1" t="s">
        <v>171</v>
      </c>
      <c r="D34" s="1" t="s">
        <v>172</v>
      </c>
      <c r="E34">
        <v>22.595700000000001</v>
      </c>
      <c r="F34" s="1" t="s">
        <v>402</v>
      </c>
      <c r="G34" s="1" t="s">
        <v>403</v>
      </c>
      <c r="H34">
        <v>3.8999999999999998E-3</v>
      </c>
      <c r="I34">
        <v>-2.0899999999999998E-2</v>
      </c>
      <c r="J34">
        <v>9.3200000000000005E-2</v>
      </c>
    </row>
    <row r="35" spans="1:10" x14ac:dyDescent="0.2">
      <c r="A35">
        <v>34</v>
      </c>
      <c r="B35" s="1" t="s">
        <v>17</v>
      </c>
      <c r="C35" s="1" t="s">
        <v>163</v>
      </c>
      <c r="D35" s="1" t="s">
        <v>164</v>
      </c>
      <c r="E35">
        <v>0.18820000000000001</v>
      </c>
      <c r="F35" s="1" t="s">
        <v>404</v>
      </c>
      <c r="G35" s="1" t="s">
        <v>405</v>
      </c>
      <c r="H35">
        <v>5.9999999999999995E-4</v>
      </c>
      <c r="I35">
        <v>-8.2000000000000007E-3</v>
      </c>
      <c r="J35">
        <v>-5.4999999999999997E-3</v>
      </c>
    </row>
    <row r="36" spans="1:10" x14ac:dyDescent="0.2">
      <c r="A36">
        <v>35</v>
      </c>
      <c r="B36" s="1" t="s">
        <v>17</v>
      </c>
      <c r="C36" s="1" t="s">
        <v>159</v>
      </c>
      <c r="D36" s="1" t="s">
        <v>160</v>
      </c>
      <c r="E36">
        <v>7.0229999999999997E-3</v>
      </c>
      <c r="F36" s="1" t="s">
        <v>406</v>
      </c>
      <c r="G36" s="1" t="s">
        <v>407</v>
      </c>
      <c r="H36">
        <v>6.1999999999999998E-3</v>
      </c>
      <c r="I36">
        <v>-9.2999999999999992E-3</v>
      </c>
      <c r="J36">
        <v>-6.0199999999999997E-2</v>
      </c>
    </row>
    <row r="37" spans="1:10" x14ac:dyDescent="0.2">
      <c r="A37">
        <v>36</v>
      </c>
      <c r="B37" s="1" t="s">
        <v>17</v>
      </c>
      <c r="C37" s="1" t="s">
        <v>237</v>
      </c>
      <c r="D37" s="1" t="s">
        <v>238</v>
      </c>
      <c r="E37">
        <v>0.85297000000000001</v>
      </c>
      <c r="F37" s="1" t="s">
        <v>408</v>
      </c>
      <c r="G37" s="1" t="s">
        <v>409</v>
      </c>
      <c r="H37">
        <v>2.0299999999999999E-2</v>
      </c>
      <c r="I37">
        <v>0.1928</v>
      </c>
      <c r="J37">
        <v>1.0740000000000001</v>
      </c>
    </row>
    <row r="38" spans="1:10" x14ac:dyDescent="0.2">
      <c r="A38">
        <v>37</v>
      </c>
      <c r="B38" s="1" t="s">
        <v>17</v>
      </c>
      <c r="C38" s="1" t="s">
        <v>182</v>
      </c>
      <c r="D38" s="1" t="s">
        <v>183</v>
      </c>
      <c r="E38">
        <v>4316.38</v>
      </c>
      <c r="F38" s="1" t="s">
        <v>410</v>
      </c>
      <c r="G38" s="1" t="s">
        <v>411</v>
      </c>
      <c r="H38">
        <v>2.2000000000000001E-3</v>
      </c>
      <c r="I38">
        <v>-7.6E-3</v>
      </c>
      <c r="J38">
        <v>-8.48E-2</v>
      </c>
    </row>
    <row r="39" spans="1:10" x14ac:dyDescent="0.2">
      <c r="A39">
        <v>38</v>
      </c>
      <c r="B39" s="1" t="s">
        <v>17</v>
      </c>
      <c r="C39" s="1" t="s">
        <v>169</v>
      </c>
      <c r="D39" s="1" t="s">
        <v>170</v>
      </c>
      <c r="E39">
        <v>5.3754900000000001</v>
      </c>
      <c r="F39" s="1" t="s">
        <v>412</v>
      </c>
      <c r="G39" s="1" t="s">
        <v>413</v>
      </c>
      <c r="H39">
        <v>1.6999999999999999E-3</v>
      </c>
      <c r="I39">
        <v>1.4800000000000001E-2</v>
      </c>
      <c r="J39">
        <v>-1.9E-2</v>
      </c>
    </row>
    <row r="40" spans="1:10" x14ac:dyDescent="0.2">
      <c r="A40">
        <v>39</v>
      </c>
      <c r="B40" s="1" t="s">
        <v>17</v>
      </c>
      <c r="C40" s="1" t="s">
        <v>174</v>
      </c>
      <c r="D40" s="1" t="s">
        <v>175</v>
      </c>
      <c r="E40">
        <v>1.3735999999999999</v>
      </c>
      <c r="F40" s="1" t="s">
        <v>414</v>
      </c>
      <c r="G40" s="1" t="s">
        <v>415</v>
      </c>
      <c r="H40">
        <v>2.0999999999999999E-3</v>
      </c>
      <c r="I40">
        <v>8.6900000000000005E-2</v>
      </c>
      <c r="J40">
        <v>6.3700000000000007E-2</v>
      </c>
    </row>
    <row r="41" spans="1:10" x14ac:dyDescent="0.2">
      <c r="A41">
        <v>40</v>
      </c>
      <c r="B41" s="1" t="s">
        <v>17</v>
      </c>
      <c r="C41" s="1" t="s">
        <v>173</v>
      </c>
      <c r="D41" s="1" t="s">
        <v>96</v>
      </c>
      <c r="E41">
        <v>34.803800000000003</v>
      </c>
      <c r="F41" s="1" t="s">
        <v>416</v>
      </c>
      <c r="G41" s="1" t="s">
        <v>376</v>
      </c>
      <c r="H41">
        <v>1.38E-2</v>
      </c>
      <c r="I41">
        <v>0.01</v>
      </c>
      <c r="J41">
        <v>-0.10390000000000001</v>
      </c>
    </row>
    <row r="42" spans="1:10" x14ac:dyDescent="0.2">
      <c r="A42">
        <v>41</v>
      </c>
      <c r="B42" s="1" t="s">
        <v>17</v>
      </c>
      <c r="C42" s="1" t="s">
        <v>178</v>
      </c>
      <c r="D42" s="1" t="s">
        <v>179</v>
      </c>
      <c r="E42">
        <v>0.99861999999999995</v>
      </c>
      <c r="F42" s="1" t="s">
        <v>417</v>
      </c>
      <c r="G42" s="1" t="s">
        <v>418</v>
      </c>
      <c r="H42">
        <v>3.0999999999999999E-3</v>
      </c>
      <c r="I42">
        <v>-4.0000000000000002E-4</v>
      </c>
      <c r="J42">
        <v>-3.2000000000000002E-3</v>
      </c>
    </row>
    <row r="43" spans="1:10" x14ac:dyDescent="0.2">
      <c r="A43">
        <v>42</v>
      </c>
      <c r="B43" s="1" t="s">
        <v>17</v>
      </c>
      <c r="C43" s="1" t="s">
        <v>180</v>
      </c>
      <c r="D43" s="1" t="s">
        <v>181</v>
      </c>
      <c r="E43">
        <v>28.9</v>
      </c>
      <c r="F43" s="1" t="s">
        <v>336</v>
      </c>
      <c r="G43" s="1" t="s">
        <v>419</v>
      </c>
      <c r="H43">
        <v>1.5E-3</v>
      </c>
      <c r="I43">
        <v>6.4899999999999999E-2</v>
      </c>
      <c r="J43">
        <v>7.9200000000000007E-2</v>
      </c>
    </row>
    <row r="44" spans="1:10" x14ac:dyDescent="0.2">
      <c r="A44">
        <v>43</v>
      </c>
      <c r="B44" s="1" t="s">
        <v>17</v>
      </c>
      <c r="C44" s="1" t="s">
        <v>186</v>
      </c>
      <c r="D44" s="1" t="s">
        <v>187</v>
      </c>
      <c r="E44">
        <v>20.720099999999999</v>
      </c>
      <c r="F44" s="1" t="s">
        <v>336</v>
      </c>
      <c r="G44" s="1" t="s">
        <v>420</v>
      </c>
      <c r="H44">
        <v>4.8999999999999998E-3</v>
      </c>
      <c r="I44">
        <v>0.12039999999999999</v>
      </c>
      <c r="J44">
        <v>9.9000000000000008E-3</v>
      </c>
    </row>
    <row r="45" spans="1:10" x14ac:dyDescent="0.2">
      <c r="A45">
        <v>44</v>
      </c>
      <c r="B45" s="1" t="s">
        <v>17</v>
      </c>
      <c r="C45" s="1" t="s">
        <v>188</v>
      </c>
      <c r="D45" s="1" t="s">
        <v>189</v>
      </c>
      <c r="E45">
        <v>14.6473</v>
      </c>
      <c r="F45" s="1" t="s">
        <v>421</v>
      </c>
      <c r="G45" s="1" t="s">
        <v>422</v>
      </c>
      <c r="H45">
        <v>8.9999999999999998E-4</v>
      </c>
      <c r="I45">
        <v>7.4000000000000003E-3</v>
      </c>
      <c r="J45">
        <v>3.6400000000000002E-2</v>
      </c>
    </row>
    <row r="46" spans="1:10" x14ac:dyDescent="0.2">
      <c r="A46">
        <v>45</v>
      </c>
      <c r="B46" s="1" t="s">
        <v>17</v>
      </c>
      <c r="C46" s="1" t="s">
        <v>209</v>
      </c>
      <c r="D46" s="1" t="s">
        <v>210</v>
      </c>
      <c r="E46">
        <v>672.22</v>
      </c>
      <c r="F46" s="1" t="s">
        <v>423</v>
      </c>
      <c r="G46" s="1" t="s">
        <v>424</v>
      </c>
      <c r="H46">
        <v>1.6000000000000001E-3</v>
      </c>
      <c r="I46">
        <v>3.5499999999999997E-2</v>
      </c>
      <c r="J46">
        <v>0.15640000000000001</v>
      </c>
    </row>
    <row r="47" spans="1:10" x14ac:dyDescent="0.2">
      <c r="A47">
        <v>46</v>
      </c>
      <c r="B47" s="1" t="s">
        <v>17</v>
      </c>
      <c r="C47" s="1" t="s">
        <v>194</v>
      </c>
      <c r="D47" s="1" t="s">
        <v>195</v>
      </c>
      <c r="E47">
        <v>394.99</v>
      </c>
      <c r="F47" s="1" t="s">
        <v>344</v>
      </c>
      <c r="G47" s="1" t="s">
        <v>425</v>
      </c>
      <c r="H47">
        <v>1.2999999999999999E-3</v>
      </c>
      <c r="I47">
        <v>4.4999999999999997E-3</v>
      </c>
      <c r="J47">
        <v>3.1600000000000003E-2</v>
      </c>
    </row>
    <row r="48" spans="1:10" x14ac:dyDescent="0.2">
      <c r="A48">
        <v>47</v>
      </c>
      <c r="B48" s="1" t="s">
        <v>17</v>
      </c>
      <c r="C48" s="1" t="s">
        <v>198</v>
      </c>
      <c r="D48" s="1" t="s">
        <v>199</v>
      </c>
      <c r="E48">
        <v>0.59121500000000005</v>
      </c>
      <c r="F48" s="1" t="s">
        <v>327</v>
      </c>
      <c r="G48" s="1" t="s">
        <v>426</v>
      </c>
      <c r="H48">
        <v>1.04E-2</v>
      </c>
      <c r="I48">
        <v>0.1096</v>
      </c>
      <c r="J48">
        <v>0.15060000000000001</v>
      </c>
    </row>
    <row r="49" spans="1:10" x14ac:dyDescent="0.2">
      <c r="A49">
        <v>48</v>
      </c>
      <c r="B49" s="1" t="s">
        <v>17</v>
      </c>
      <c r="C49" s="1" t="s">
        <v>196</v>
      </c>
      <c r="D49" s="1" t="s">
        <v>197</v>
      </c>
      <c r="E49">
        <v>180.53</v>
      </c>
      <c r="F49" s="1" t="s">
        <v>427</v>
      </c>
      <c r="G49" s="1" t="s">
        <v>428</v>
      </c>
      <c r="H49">
        <v>6.9999999999999999E-4</v>
      </c>
      <c r="I49">
        <v>1.55E-2</v>
      </c>
      <c r="J49">
        <v>-1.0200000000000001E-2</v>
      </c>
    </row>
    <row r="50" spans="1:10" x14ac:dyDescent="0.2">
      <c r="A50">
        <v>49</v>
      </c>
      <c r="B50" s="1" t="s">
        <v>17</v>
      </c>
      <c r="C50" s="1" t="s">
        <v>184</v>
      </c>
      <c r="D50" s="1" t="s">
        <v>185</v>
      </c>
      <c r="E50">
        <v>0.33324999999999999</v>
      </c>
      <c r="F50" s="1" t="s">
        <v>367</v>
      </c>
      <c r="G50" s="1" t="s">
        <v>429</v>
      </c>
      <c r="H50">
        <v>1.2999999999999999E-3</v>
      </c>
      <c r="I50">
        <v>3.5000000000000001E-3</v>
      </c>
      <c r="J50">
        <v>-5.9499999999999997E-2</v>
      </c>
    </row>
    <row r="51" spans="1:10" x14ac:dyDescent="0.2">
      <c r="A51">
        <v>50</v>
      </c>
      <c r="B51" s="1" t="s">
        <v>17</v>
      </c>
      <c r="C51" s="1" t="s">
        <v>192</v>
      </c>
      <c r="D51" s="1" t="s">
        <v>193</v>
      </c>
      <c r="E51">
        <v>47298.8</v>
      </c>
      <c r="F51" s="1" t="s">
        <v>430</v>
      </c>
      <c r="G51" s="1" t="s">
        <v>431</v>
      </c>
      <c r="H51">
        <v>2E-3</v>
      </c>
      <c r="I51">
        <v>-1.47E-2</v>
      </c>
      <c r="J51">
        <v>-1.3299999999999999E-2</v>
      </c>
    </row>
    <row r="52" spans="1:10" x14ac:dyDescent="0.2">
      <c r="A52">
        <v>51</v>
      </c>
      <c r="B52" s="1" t="s">
        <v>17</v>
      </c>
      <c r="C52" s="1" t="s">
        <v>190</v>
      </c>
      <c r="D52" s="1" t="s">
        <v>191</v>
      </c>
      <c r="E52">
        <v>285.73</v>
      </c>
      <c r="F52" s="1" t="s">
        <v>432</v>
      </c>
      <c r="G52" s="1" t="s">
        <v>433</v>
      </c>
      <c r="H52">
        <v>5.0000000000000001E-3</v>
      </c>
      <c r="I52">
        <v>2.3999999999999998E-3</v>
      </c>
      <c r="J52">
        <v>-7.6100000000000001E-2</v>
      </c>
    </row>
    <row r="53" spans="1:10" x14ac:dyDescent="0.2">
      <c r="A53">
        <v>52</v>
      </c>
      <c r="B53" s="1" t="s">
        <v>17</v>
      </c>
      <c r="C53" s="1" t="s">
        <v>204</v>
      </c>
      <c r="D53" s="1" t="s">
        <v>205</v>
      </c>
      <c r="E53">
        <v>219.09829999999999</v>
      </c>
      <c r="F53" s="1" t="s">
        <v>345</v>
      </c>
      <c r="G53" s="1" t="s">
        <v>434</v>
      </c>
      <c r="H53">
        <v>2.0000000000000001E-4</v>
      </c>
      <c r="I53">
        <v>4.6699999999999998E-2</v>
      </c>
      <c r="J53">
        <v>9.7000000000000003E-3</v>
      </c>
    </row>
    <row r="54" spans="1:10" x14ac:dyDescent="0.2">
      <c r="A54">
        <v>53</v>
      </c>
      <c r="B54" s="1" t="s">
        <v>17</v>
      </c>
      <c r="C54" s="1" t="s">
        <v>200</v>
      </c>
      <c r="D54" s="1" t="s">
        <v>201</v>
      </c>
      <c r="E54">
        <v>234.72</v>
      </c>
      <c r="F54" s="1" t="s">
        <v>435</v>
      </c>
      <c r="G54" s="1" t="s">
        <v>436</v>
      </c>
      <c r="H54">
        <v>3.5999999999999999E-3</v>
      </c>
      <c r="I54">
        <v>-1E-4</v>
      </c>
      <c r="J54">
        <v>-4.0099999999999997E-2</v>
      </c>
    </row>
    <row r="55" spans="1:10" x14ac:dyDescent="0.2">
      <c r="A55">
        <v>54</v>
      </c>
      <c r="B55" s="1" t="s">
        <v>17</v>
      </c>
      <c r="C55" s="1" t="s">
        <v>202</v>
      </c>
      <c r="D55" s="1" t="s">
        <v>203</v>
      </c>
      <c r="E55">
        <v>1.5928999999999999E-2</v>
      </c>
      <c r="F55" s="1" t="s">
        <v>437</v>
      </c>
      <c r="G55" s="1" t="s">
        <v>438</v>
      </c>
      <c r="H55">
        <v>2.8E-3</v>
      </c>
      <c r="I55">
        <v>1.7999999999999999E-2</v>
      </c>
      <c r="J55">
        <v>5.2299999999999999E-2</v>
      </c>
    </row>
    <row r="56" spans="1:10" x14ac:dyDescent="0.2">
      <c r="A56">
        <v>55</v>
      </c>
      <c r="B56" s="1" t="s">
        <v>17</v>
      </c>
      <c r="C56" s="1" t="s">
        <v>305</v>
      </c>
      <c r="D56" s="1" t="s">
        <v>206</v>
      </c>
      <c r="E56">
        <v>2.1751</v>
      </c>
      <c r="F56" s="1" t="s">
        <v>439</v>
      </c>
      <c r="G56" s="1" t="s">
        <v>440</v>
      </c>
      <c r="H56">
        <v>2.0000000000000001E-4</v>
      </c>
      <c r="I56">
        <v>1.46E-2</v>
      </c>
      <c r="J56">
        <v>-6.9900000000000004E-2</v>
      </c>
    </row>
    <row r="57" spans="1:10" x14ac:dyDescent="0.2">
      <c r="A57">
        <v>56</v>
      </c>
      <c r="B57" s="1" t="s">
        <v>17</v>
      </c>
      <c r="C57" s="1" t="s">
        <v>207</v>
      </c>
      <c r="D57" s="1" t="s">
        <v>208</v>
      </c>
      <c r="E57">
        <v>0.30220000000000002</v>
      </c>
      <c r="F57" s="1" t="s">
        <v>343</v>
      </c>
      <c r="G57" s="1" t="s">
        <v>441</v>
      </c>
      <c r="H57">
        <v>2E-3</v>
      </c>
      <c r="I57">
        <v>4.3099999999999999E-2</v>
      </c>
      <c r="J57">
        <v>1.8E-3</v>
      </c>
    </row>
    <row r="58" spans="1:10" x14ac:dyDescent="0.2">
      <c r="A58">
        <v>57</v>
      </c>
      <c r="B58" s="1" t="s">
        <v>17</v>
      </c>
      <c r="C58" s="1" t="s">
        <v>211</v>
      </c>
      <c r="D58" s="1" t="s">
        <v>212</v>
      </c>
      <c r="E58">
        <v>2.3346</v>
      </c>
      <c r="F58" s="1" t="s">
        <v>442</v>
      </c>
      <c r="G58" s="1" t="s">
        <v>443</v>
      </c>
      <c r="H58">
        <v>0</v>
      </c>
      <c r="I58">
        <v>8.3999999999999995E-3</v>
      </c>
      <c r="J58">
        <v>5.2200000000000003E-2</v>
      </c>
    </row>
    <row r="59" spans="1:10" x14ac:dyDescent="0.2">
      <c r="A59">
        <v>58</v>
      </c>
      <c r="B59" s="1" t="s">
        <v>17</v>
      </c>
      <c r="C59" s="1" t="s">
        <v>213</v>
      </c>
      <c r="D59" s="1" t="s">
        <v>214</v>
      </c>
      <c r="E59">
        <v>2.7965990000000001</v>
      </c>
      <c r="F59" s="1" t="s">
        <v>444</v>
      </c>
      <c r="G59" s="1" t="s">
        <v>445</v>
      </c>
      <c r="H59">
        <v>4.1999999999999997E-3</v>
      </c>
      <c r="I59">
        <v>0.115</v>
      </c>
      <c r="J59">
        <v>8.7300000000000003E-2</v>
      </c>
    </row>
    <row r="60" spans="1:10" x14ac:dyDescent="0.2">
      <c r="A60">
        <v>59</v>
      </c>
      <c r="B60" s="1" t="s">
        <v>17</v>
      </c>
      <c r="C60" s="1" t="s">
        <v>215</v>
      </c>
      <c r="D60" s="1" t="s">
        <v>216</v>
      </c>
      <c r="E60">
        <v>1.4631000000000001</v>
      </c>
      <c r="F60" s="1" t="s">
        <v>446</v>
      </c>
      <c r="G60" s="1" t="s">
        <v>447</v>
      </c>
      <c r="H60">
        <v>3.8E-3</v>
      </c>
      <c r="I60">
        <v>4.07E-2</v>
      </c>
      <c r="J60">
        <v>4.8500000000000001E-2</v>
      </c>
    </row>
    <row r="61" spans="1:10" x14ac:dyDescent="0.2">
      <c r="A61">
        <v>60</v>
      </c>
      <c r="B61" s="1" t="s">
        <v>17</v>
      </c>
      <c r="C61" s="1" t="s">
        <v>217</v>
      </c>
      <c r="D61" s="1" t="s">
        <v>218</v>
      </c>
      <c r="E61">
        <v>0.20044500000000001</v>
      </c>
      <c r="F61" s="1" t="s">
        <v>328</v>
      </c>
      <c r="G61" s="1" t="s">
        <v>448</v>
      </c>
      <c r="H61">
        <v>1.8E-3</v>
      </c>
      <c r="I61">
        <v>2.6599999999999999E-2</v>
      </c>
      <c r="J61">
        <v>0.1041</v>
      </c>
    </row>
    <row r="62" spans="1:10" x14ac:dyDescent="0.2">
      <c r="A62">
        <v>61</v>
      </c>
      <c r="B62" s="1" t="s">
        <v>17</v>
      </c>
      <c r="C62" s="1" t="s">
        <v>223</v>
      </c>
      <c r="D62" s="1" t="s">
        <v>224</v>
      </c>
      <c r="E62">
        <v>3.699913</v>
      </c>
      <c r="F62" s="1" t="s">
        <v>449</v>
      </c>
      <c r="G62" s="1" t="s">
        <v>450</v>
      </c>
      <c r="H62">
        <v>1E-4</v>
      </c>
      <c r="I62">
        <v>1.6400000000000001E-2</v>
      </c>
      <c r="J62">
        <v>1.9300000000000001E-2</v>
      </c>
    </row>
    <row r="63" spans="1:10" x14ac:dyDescent="0.2">
      <c r="A63">
        <v>62</v>
      </c>
      <c r="B63" s="1" t="s">
        <v>17</v>
      </c>
      <c r="C63" s="1" t="s">
        <v>227</v>
      </c>
      <c r="D63" s="1" t="s">
        <v>228</v>
      </c>
      <c r="E63">
        <v>17.739999999999998</v>
      </c>
      <c r="F63" s="1" t="s">
        <v>329</v>
      </c>
      <c r="G63" s="1" t="s">
        <v>451</v>
      </c>
      <c r="H63">
        <v>8.9999999999999998E-4</v>
      </c>
      <c r="I63">
        <v>4.53E-2</v>
      </c>
      <c r="J63">
        <v>2.8400000000000002E-2</v>
      </c>
    </row>
    <row r="64" spans="1:10" x14ac:dyDescent="0.2">
      <c r="A64">
        <v>63</v>
      </c>
      <c r="B64" s="1" t="s">
        <v>17</v>
      </c>
      <c r="C64" s="1" t="s">
        <v>256</v>
      </c>
      <c r="D64" s="1" t="s">
        <v>257</v>
      </c>
      <c r="E64">
        <v>19.160499999999999</v>
      </c>
      <c r="F64" s="1" t="s">
        <v>319</v>
      </c>
      <c r="G64" s="1" t="s">
        <v>452</v>
      </c>
      <c r="H64">
        <v>1.1000000000000001E-3</v>
      </c>
      <c r="I64">
        <v>-5.7000000000000002E-3</v>
      </c>
      <c r="J64">
        <v>0.33900000000000002</v>
      </c>
    </row>
    <row r="65" spans="1:10" x14ac:dyDescent="0.2">
      <c r="A65">
        <v>64</v>
      </c>
      <c r="B65" s="1" t="s">
        <v>17</v>
      </c>
      <c r="C65" s="1" t="s">
        <v>231</v>
      </c>
      <c r="D65" s="1" t="s">
        <v>232</v>
      </c>
      <c r="E65">
        <v>1.00048</v>
      </c>
      <c r="F65" s="1" t="s">
        <v>338</v>
      </c>
      <c r="G65" s="1" t="s">
        <v>453</v>
      </c>
      <c r="H65">
        <v>2.9999999999999997E-4</v>
      </c>
      <c r="I65">
        <v>-2.9999999999999997E-4</v>
      </c>
      <c r="J65">
        <v>2.0000000000000001E-4</v>
      </c>
    </row>
    <row r="66" spans="1:10" x14ac:dyDescent="0.2">
      <c r="A66">
        <v>65</v>
      </c>
      <c r="B66" s="1" t="s">
        <v>17</v>
      </c>
      <c r="C66" s="1" t="s">
        <v>221</v>
      </c>
      <c r="D66" s="1" t="s">
        <v>222</v>
      </c>
      <c r="E66">
        <v>1.5568</v>
      </c>
      <c r="F66" s="1" t="s">
        <v>321</v>
      </c>
      <c r="G66" s="1" t="s">
        <v>454</v>
      </c>
      <c r="H66">
        <v>1.2999999999999999E-3</v>
      </c>
      <c r="I66">
        <v>-1.8E-3</v>
      </c>
      <c r="J66">
        <v>-2.6700000000000002E-2</v>
      </c>
    </row>
    <row r="67" spans="1:10" x14ac:dyDescent="0.2">
      <c r="A67">
        <v>66</v>
      </c>
      <c r="B67" s="1" t="s">
        <v>17</v>
      </c>
      <c r="C67" s="1" t="s">
        <v>252</v>
      </c>
      <c r="D67" s="1" t="s">
        <v>253</v>
      </c>
      <c r="E67">
        <v>0.94589199999999996</v>
      </c>
      <c r="F67" s="1" t="s">
        <v>321</v>
      </c>
      <c r="G67" s="1" t="s">
        <v>455</v>
      </c>
      <c r="H67">
        <v>4.0000000000000002E-4</v>
      </c>
      <c r="I67">
        <v>6.6E-3</v>
      </c>
      <c r="J67">
        <v>4.6300000000000001E-2</v>
      </c>
    </row>
    <row r="68" spans="1:10" x14ac:dyDescent="0.2">
      <c r="A68">
        <v>67</v>
      </c>
      <c r="B68" s="1" t="s">
        <v>17</v>
      </c>
      <c r="C68" s="1" t="s">
        <v>248</v>
      </c>
      <c r="D68" s="1" t="s">
        <v>249</v>
      </c>
      <c r="E68">
        <v>14.746</v>
      </c>
      <c r="F68" s="1" t="s">
        <v>330</v>
      </c>
      <c r="G68" s="1" t="s">
        <v>456</v>
      </c>
      <c r="H68">
        <v>3.8999999999999998E-3</v>
      </c>
      <c r="I68">
        <v>4.99E-2</v>
      </c>
      <c r="J68">
        <v>4.1099999999999998E-2</v>
      </c>
    </row>
    <row r="69" spans="1:10" x14ac:dyDescent="0.2">
      <c r="A69">
        <v>68</v>
      </c>
      <c r="B69" s="1" t="s">
        <v>17</v>
      </c>
      <c r="C69" s="1" t="s">
        <v>229</v>
      </c>
      <c r="D69" s="1" t="s">
        <v>230</v>
      </c>
      <c r="E69">
        <v>0.130719</v>
      </c>
      <c r="F69" s="1" t="s">
        <v>330</v>
      </c>
      <c r="G69" s="1" t="s">
        <v>457</v>
      </c>
      <c r="H69">
        <v>6.9999999999999999E-4</v>
      </c>
      <c r="I69">
        <v>2.1999999999999999E-2</v>
      </c>
      <c r="J69">
        <v>-0.18190000000000001</v>
      </c>
    </row>
    <row r="70" spans="1:10" x14ac:dyDescent="0.2">
      <c r="A70">
        <v>69</v>
      </c>
      <c r="B70" s="1" t="s">
        <v>17</v>
      </c>
      <c r="C70" s="1" t="s">
        <v>219</v>
      </c>
      <c r="D70" s="1" t="s">
        <v>220</v>
      </c>
      <c r="E70">
        <v>3.8610999999999999E-2</v>
      </c>
      <c r="F70" s="1" t="s">
        <v>346</v>
      </c>
      <c r="G70" s="1" t="s">
        <v>458</v>
      </c>
      <c r="H70">
        <v>1.4E-3</v>
      </c>
      <c r="I70">
        <v>-1.1299999999999999E-2</v>
      </c>
      <c r="J70">
        <v>-7.2499999999999995E-2</v>
      </c>
    </row>
    <row r="71" spans="1:10" x14ac:dyDescent="0.2">
      <c r="A71">
        <v>70</v>
      </c>
      <c r="B71" s="1" t="s">
        <v>17</v>
      </c>
      <c r="C71" s="1" t="s">
        <v>235</v>
      </c>
      <c r="D71" s="1" t="s">
        <v>236</v>
      </c>
      <c r="E71">
        <v>5.0533000000000001</v>
      </c>
      <c r="F71" s="1" t="s">
        <v>346</v>
      </c>
      <c r="G71" s="1" t="s">
        <v>459</v>
      </c>
      <c r="H71">
        <v>5.9999999999999995E-4</v>
      </c>
      <c r="I71">
        <v>1.12E-2</v>
      </c>
      <c r="J71">
        <v>-2.75E-2</v>
      </c>
    </row>
    <row r="72" spans="1:10" x14ac:dyDescent="0.2">
      <c r="A72">
        <v>71</v>
      </c>
      <c r="B72" s="1" t="s">
        <v>17</v>
      </c>
      <c r="C72" s="1" t="s">
        <v>225</v>
      </c>
      <c r="D72" s="1" t="s">
        <v>226</v>
      </c>
      <c r="E72">
        <v>1.2198100000000001</v>
      </c>
      <c r="F72" s="1" t="s">
        <v>331</v>
      </c>
      <c r="G72" s="1" t="s">
        <v>460</v>
      </c>
      <c r="H72">
        <v>2.7000000000000001E-3</v>
      </c>
      <c r="I72">
        <v>1.32E-2</v>
      </c>
      <c r="J72">
        <v>-1.8800000000000001E-2</v>
      </c>
    </row>
    <row r="73" spans="1:10" x14ac:dyDescent="0.2">
      <c r="A73">
        <v>72</v>
      </c>
      <c r="B73" s="1" t="s">
        <v>17</v>
      </c>
      <c r="C73" s="1" t="s">
        <v>233</v>
      </c>
      <c r="D73" s="1" t="s">
        <v>234</v>
      </c>
      <c r="E73">
        <v>48169.42</v>
      </c>
      <c r="F73" s="1" t="s">
        <v>332</v>
      </c>
      <c r="G73" s="1" t="s">
        <v>461</v>
      </c>
      <c r="H73">
        <v>2.5999999999999999E-3</v>
      </c>
      <c r="I73">
        <v>-3.6600000000000001E-2</v>
      </c>
      <c r="J73">
        <v>-5.3499999999999999E-2</v>
      </c>
    </row>
    <row r="74" spans="1:10" x14ac:dyDescent="0.2">
      <c r="A74">
        <v>73</v>
      </c>
      <c r="B74" s="1" t="s">
        <v>17</v>
      </c>
      <c r="C74" s="1" t="s">
        <v>250</v>
      </c>
      <c r="D74" s="1" t="s">
        <v>251</v>
      </c>
      <c r="E74">
        <v>0.32778000000000002</v>
      </c>
      <c r="F74" s="1" t="s">
        <v>462</v>
      </c>
      <c r="G74" s="1" t="s">
        <v>463</v>
      </c>
      <c r="H74">
        <v>4.0000000000000002E-4</v>
      </c>
      <c r="I74">
        <v>6.4100000000000004E-2</v>
      </c>
      <c r="J74">
        <v>0.13189999999999999</v>
      </c>
    </row>
    <row r="75" spans="1:10" x14ac:dyDescent="0.2">
      <c r="A75">
        <v>74</v>
      </c>
      <c r="B75" s="1" t="s">
        <v>17</v>
      </c>
      <c r="C75" s="1" t="s">
        <v>244</v>
      </c>
      <c r="D75" s="1" t="s">
        <v>245</v>
      </c>
      <c r="E75">
        <v>89.72</v>
      </c>
      <c r="F75" s="1" t="s">
        <v>322</v>
      </c>
      <c r="G75" s="1" t="s">
        <v>464</v>
      </c>
      <c r="H75">
        <v>1.2999999999999999E-3</v>
      </c>
      <c r="I75">
        <v>-1.8E-3</v>
      </c>
      <c r="J75">
        <v>5.7799999999999997E-2</v>
      </c>
    </row>
    <row r="76" spans="1:10" x14ac:dyDescent="0.2">
      <c r="A76">
        <v>75</v>
      </c>
      <c r="B76" s="1" t="s">
        <v>17</v>
      </c>
      <c r="C76" s="1" t="s">
        <v>306</v>
      </c>
      <c r="D76" s="1" t="s">
        <v>307</v>
      </c>
      <c r="E76">
        <v>0.63278000000000001</v>
      </c>
      <c r="F76" s="1" t="s">
        <v>337</v>
      </c>
      <c r="G76" s="1" t="s">
        <v>465</v>
      </c>
      <c r="H76">
        <v>5.8999999999999999E-3</v>
      </c>
      <c r="I76">
        <v>0.19070000000000001</v>
      </c>
      <c r="J76">
        <v>0.63100000000000001</v>
      </c>
    </row>
    <row r="77" spans="1:10" x14ac:dyDescent="0.2">
      <c r="A77">
        <v>76</v>
      </c>
      <c r="B77" s="1" t="s">
        <v>17</v>
      </c>
      <c r="C77" s="1" t="s">
        <v>241</v>
      </c>
      <c r="D77" s="1" t="s">
        <v>241</v>
      </c>
      <c r="E77">
        <v>25.478000000000002</v>
      </c>
      <c r="F77" s="1" t="s">
        <v>466</v>
      </c>
      <c r="G77" s="1" t="s">
        <v>467</v>
      </c>
      <c r="H77">
        <v>2.9999999999999997E-4</v>
      </c>
      <c r="I77">
        <v>1.1000000000000001E-3</v>
      </c>
      <c r="J77">
        <v>-4.1099999999999998E-2</v>
      </c>
    </row>
    <row r="78" spans="1:10" x14ac:dyDescent="0.2">
      <c r="A78">
        <v>77</v>
      </c>
      <c r="B78" s="1" t="s">
        <v>17</v>
      </c>
      <c r="C78" s="1" t="s">
        <v>260</v>
      </c>
      <c r="D78" s="1" t="s">
        <v>261</v>
      </c>
      <c r="E78">
        <v>2.37723</v>
      </c>
      <c r="F78" s="1" t="s">
        <v>468</v>
      </c>
      <c r="G78" s="1" t="s">
        <v>469</v>
      </c>
      <c r="H78">
        <v>8.9999999999999998E-4</v>
      </c>
      <c r="I78">
        <v>8.6499999999999994E-2</v>
      </c>
      <c r="J78">
        <v>6.83E-2</v>
      </c>
    </row>
    <row r="79" spans="1:10" x14ac:dyDescent="0.2">
      <c r="A79">
        <v>78</v>
      </c>
      <c r="B79" s="1" t="s">
        <v>17</v>
      </c>
      <c r="C79" s="1" t="s">
        <v>246</v>
      </c>
      <c r="D79" s="1" t="s">
        <v>247</v>
      </c>
      <c r="E79">
        <v>0.16652900000000001</v>
      </c>
      <c r="F79" s="1" t="s">
        <v>323</v>
      </c>
      <c r="G79" s="1" t="s">
        <v>470</v>
      </c>
      <c r="H79">
        <v>6.9999999999999999E-4</v>
      </c>
      <c r="I79">
        <v>1.04E-2</v>
      </c>
      <c r="J79">
        <v>-5.4300000000000001E-2</v>
      </c>
    </row>
    <row r="80" spans="1:10" x14ac:dyDescent="0.2">
      <c r="A80">
        <v>79</v>
      </c>
      <c r="B80" s="1" t="s">
        <v>17</v>
      </c>
      <c r="C80" s="1" t="s">
        <v>239</v>
      </c>
      <c r="D80" s="1" t="s">
        <v>240</v>
      </c>
      <c r="E80">
        <v>14.4552</v>
      </c>
      <c r="F80" s="1" t="s">
        <v>426</v>
      </c>
      <c r="G80" s="1" t="s">
        <v>471</v>
      </c>
      <c r="H80">
        <v>4.1000000000000003E-3</v>
      </c>
      <c r="I80">
        <v>8.2000000000000007E-3</v>
      </c>
      <c r="J80">
        <v>-0.10580000000000001</v>
      </c>
    </row>
    <row r="81" spans="1:10" x14ac:dyDescent="0.2">
      <c r="A81">
        <v>80</v>
      </c>
      <c r="B81" s="1" t="s">
        <v>17</v>
      </c>
      <c r="C81" s="1" t="s">
        <v>242</v>
      </c>
      <c r="D81" s="1" t="s">
        <v>243</v>
      </c>
      <c r="E81">
        <v>1.7108000000000001</v>
      </c>
      <c r="F81" s="1" t="s">
        <v>426</v>
      </c>
      <c r="G81" s="1" t="s">
        <v>472</v>
      </c>
      <c r="H81">
        <v>3.0999999999999999E-3</v>
      </c>
      <c r="I81">
        <v>1.5900000000000001E-2</v>
      </c>
      <c r="J81">
        <v>-0.1038</v>
      </c>
    </row>
    <row r="82" spans="1:10" x14ac:dyDescent="0.2">
      <c r="A82">
        <v>81</v>
      </c>
      <c r="B82" s="1" t="s">
        <v>17</v>
      </c>
      <c r="C82" s="1" t="s">
        <v>254</v>
      </c>
      <c r="D82" s="1" t="s">
        <v>255</v>
      </c>
      <c r="E82">
        <v>8.1082999999999998</v>
      </c>
      <c r="F82" s="1" t="s">
        <v>316</v>
      </c>
      <c r="G82" s="1" t="s">
        <v>473</v>
      </c>
      <c r="H82">
        <v>1E-4</v>
      </c>
      <c r="I82">
        <v>2.3599999999999999E-2</v>
      </c>
      <c r="J82">
        <v>-5.4100000000000002E-2</v>
      </c>
    </row>
    <row r="83" spans="1:10" x14ac:dyDescent="0.2">
      <c r="A83">
        <v>82</v>
      </c>
      <c r="B83" s="1" t="s">
        <v>17</v>
      </c>
      <c r="C83" s="1" t="s">
        <v>285</v>
      </c>
      <c r="D83" s="1" t="s">
        <v>286</v>
      </c>
      <c r="E83">
        <v>17.100000000000001</v>
      </c>
      <c r="F83" s="1" t="s">
        <v>474</v>
      </c>
      <c r="G83" s="1" t="s">
        <v>475</v>
      </c>
      <c r="H83">
        <v>1E-4</v>
      </c>
      <c r="I83">
        <v>-4.7300000000000002E-2</v>
      </c>
      <c r="J83">
        <v>0.2797</v>
      </c>
    </row>
    <row r="84" spans="1:10" x14ac:dyDescent="0.2">
      <c r="A84">
        <v>83</v>
      </c>
      <c r="B84" s="1" t="s">
        <v>17</v>
      </c>
      <c r="C84" s="1" t="s">
        <v>258</v>
      </c>
      <c r="D84" s="1" t="s">
        <v>259</v>
      </c>
      <c r="E84">
        <v>1.74871</v>
      </c>
      <c r="F84" s="1" t="s">
        <v>318</v>
      </c>
      <c r="G84" s="1" t="s">
        <v>476</v>
      </c>
      <c r="H84">
        <v>1.1999999999999999E-3</v>
      </c>
      <c r="I84">
        <v>2.2800000000000001E-2</v>
      </c>
      <c r="J84">
        <v>2.6599999999999999E-2</v>
      </c>
    </row>
    <row r="85" spans="1:10" x14ac:dyDescent="0.2">
      <c r="A85">
        <v>84</v>
      </c>
      <c r="B85" s="1" t="s">
        <v>17</v>
      </c>
      <c r="C85" s="1" t="s">
        <v>302</v>
      </c>
      <c r="D85" s="1" t="s">
        <v>303</v>
      </c>
      <c r="E85">
        <v>7.4394499999999999</v>
      </c>
      <c r="F85" s="1" t="s">
        <v>333</v>
      </c>
      <c r="G85" s="1" t="s">
        <v>477</v>
      </c>
      <c r="H85">
        <v>1E-4</v>
      </c>
      <c r="I85">
        <v>-0.1086</v>
      </c>
      <c r="J85">
        <v>2.3E-3</v>
      </c>
    </row>
    <row r="86" spans="1:10" x14ac:dyDescent="0.2">
      <c r="A86">
        <v>85</v>
      </c>
      <c r="B86" s="1" t="s">
        <v>17</v>
      </c>
      <c r="C86" s="1" t="s">
        <v>262</v>
      </c>
      <c r="D86" s="1" t="s">
        <v>263</v>
      </c>
      <c r="E86">
        <v>119.3583</v>
      </c>
      <c r="F86" s="1" t="s">
        <v>333</v>
      </c>
      <c r="G86" s="1" t="s">
        <v>478</v>
      </c>
      <c r="H86">
        <v>8.0000000000000004E-4</v>
      </c>
      <c r="I86">
        <v>-2.29E-2</v>
      </c>
      <c r="J86">
        <v>1.8599999999999998E-2</v>
      </c>
    </row>
    <row r="87" spans="1:10" x14ac:dyDescent="0.2">
      <c r="A87">
        <v>86</v>
      </c>
      <c r="B87" s="1" t="s">
        <v>17</v>
      </c>
      <c r="C87" s="1" t="s">
        <v>275</v>
      </c>
      <c r="D87" s="1" t="s">
        <v>276</v>
      </c>
      <c r="E87">
        <v>0.13880999999999999</v>
      </c>
      <c r="F87" s="1" t="s">
        <v>369</v>
      </c>
      <c r="G87" s="1" t="s">
        <v>479</v>
      </c>
      <c r="H87">
        <v>1E-3</v>
      </c>
      <c r="I87">
        <v>2.3699999999999999E-2</v>
      </c>
      <c r="J87">
        <v>0.14729999999999999</v>
      </c>
    </row>
    <row r="88" spans="1:10" x14ac:dyDescent="0.2">
      <c r="A88">
        <v>87</v>
      </c>
      <c r="B88" s="1" t="s">
        <v>17</v>
      </c>
      <c r="C88" s="1" t="s">
        <v>279</v>
      </c>
      <c r="D88" s="1" t="s">
        <v>280</v>
      </c>
      <c r="E88">
        <v>1.1930400000000001</v>
      </c>
      <c r="F88" s="1" t="s">
        <v>320</v>
      </c>
      <c r="G88" s="1" t="s">
        <v>480</v>
      </c>
      <c r="H88">
        <v>0</v>
      </c>
      <c r="I88">
        <v>3.6299999999999999E-2</v>
      </c>
      <c r="J88">
        <v>1.4999999999999999E-2</v>
      </c>
    </row>
    <row r="89" spans="1:10" x14ac:dyDescent="0.2">
      <c r="A89">
        <v>88</v>
      </c>
      <c r="B89" s="1" t="s">
        <v>17</v>
      </c>
      <c r="C89" s="1" t="s">
        <v>266</v>
      </c>
      <c r="D89" s="1" t="s">
        <v>267</v>
      </c>
      <c r="E89">
        <v>6.7549999999999999</v>
      </c>
      <c r="F89" s="1" t="s">
        <v>320</v>
      </c>
      <c r="G89" s="1" t="s">
        <v>481</v>
      </c>
      <c r="H89">
        <v>6.9999999999999999E-4</v>
      </c>
      <c r="I89">
        <v>9.5999999999999992E-3</v>
      </c>
      <c r="J89">
        <v>-4.2700000000000002E-2</v>
      </c>
    </row>
    <row r="90" spans="1:10" x14ac:dyDescent="0.2">
      <c r="A90">
        <v>89</v>
      </c>
      <c r="B90" s="1" t="s">
        <v>17</v>
      </c>
      <c r="C90" s="1" t="s">
        <v>287</v>
      </c>
      <c r="D90" s="1" t="s">
        <v>288</v>
      </c>
      <c r="E90">
        <v>0.16805</v>
      </c>
      <c r="F90" s="1" t="s">
        <v>324</v>
      </c>
      <c r="G90" s="1" t="s">
        <v>482</v>
      </c>
      <c r="H90">
        <v>1.4E-3</v>
      </c>
      <c r="I90">
        <v>-3.4799999999999998E-2</v>
      </c>
      <c r="J90">
        <v>0.14219999999999999</v>
      </c>
    </row>
    <row r="91" spans="1:10" x14ac:dyDescent="0.2">
      <c r="A91">
        <v>90</v>
      </c>
      <c r="B91" s="1" t="s">
        <v>17</v>
      </c>
      <c r="C91" s="1" t="s">
        <v>273</v>
      </c>
      <c r="D91" s="1" t="s">
        <v>274</v>
      </c>
      <c r="E91">
        <v>8.9160000000000003E-2</v>
      </c>
      <c r="F91" s="1" t="s">
        <v>342</v>
      </c>
      <c r="G91" s="1" t="s">
        <v>483</v>
      </c>
      <c r="H91">
        <v>1E-3</v>
      </c>
      <c r="I91">
        <v>3.73E-2</v>
      </c>
      <c r="J91">
        <v>-0.105</v>
      </c>
    </row>
    <row r="92" spans="1:10" x14ac:dyDescent="0.2">
      <c r="A92">
        <v>91</v>
      </c>
      <c r="B92" s="1" t="s">
        <v>17</v>
      </c>
      <c r="C92" s="1" t="s">
        <v>289</v>
      </c>
      <c r="D92" s="1" t="s">
        <v>290</v>
      </c>
      <c r="E92">
        <v>2.74</v>
      </c>
      <c r="F92" s="1" t="s">
        <v>312</v>
      </c>
      <c r="G92" s="1" t="s">
        <v>484</v>
      </c>
      <c r="H92">
        <v>0</v>
      </c>
      <c r="I92">
        <v>-6.7000000000000002E-3</v>
      </c>
      <c r="J92">
        <v>-7.4499999999999997E-2</v>
      </c>
    </row>
    <row r="93" spans="1:10" x14ac:dyDescent="0.2">
      <c r="A93">
        <v>92</v>
      </c>
      <c r="B93" s="1" t="s">
        <v>17</v>
      </c>
      <c r="C93" s="1" t="s">
        <v>308</v>
      </c>
      <c r="D93" s="1" t="s">
        <v>309</v>
      </c>
      <c r="E93">
        <v>1.1847E-2</v>
      </c>
      <c r="F93" s="1" t="s">
        <v>335</v>
      </c>
      <c r="G93" s="1" t="s">
        <v>485</v>
      </c>
      <c r="H93">
        <v>1.6000000000000001E-3</v>
      </c>
      <c r="I93">
        <v>5.5899999999999998E-2</v>
      </c>
      <c r="J93">
        <v>0.40329999999999999</v>
      </c>
    </row>
    <row r="94" spans="1:10" x14ac:dyDescent="0.2">
      <c r="A94">
        <v>93</v>
      </c>
      <c r="B94" s="1" t="s">
        <v>17</v>
      </c>
      <c r="C94" s="1" t="s">
        <v>270</v>
      </c>
      <c r="D94" s="1" t="s">
        <v>271</v>
      </c>
      <c r="E94">
        <v>1.278E-2</v>
      </c>
      <c r="F94" s="1" t="s">
        <v>272</v>
      </c>
      <c r="G94" s="1" t="s">
        <v>486</v>
      </c>
      <c r="H94">
        <v>0</v>
      </c>
      <c r="I94">
        <v>-8.6999999999999994E-3</v>
      </c>
      <c r="J94">
        <v>4.0000000000000002E-4</v>
      </c>
    </row>
    <row r="95" spans="1:10" x14ac:dyDescent="0.2">
      <c r="A95">
        <v>94</v>
      </c>
      <c r="B95" s="1" t="s">
        <v>17</v>
      </c>
      <c r="C95" s="1" t="s">
        <v>264</v>
      </c>
      <c r="D95" s="1" t="s">
        <v>265</v>
      </c>
      <c r="E95">
        <v>8.8758999999999997</v>
      </c>
      <c r="F95" s="1" t="s">
        <v>272</v>
      </c>
      <c r="G95" s="1" t="s">
        <v>487</v>
      </c>
      <c r="H95">
        <v>5.9999999999999995E-4</v>
      </c>
      <c r="I95">
        <v>-8.5000000000000006E-3</v>
      </c>
      <c r="J95">
        <v>-7.4800000000000005E-2</v>
      </c>
    </row>
    <row r="96" spans="1:10" x14ac:dyDescent="0.2">
      <c r="A96">
        <v>95</v>
      </c>
      <c r="B96" s="1" t="s">
        <v>17</v>
      </c>
      <c r="C96" s="1" t="s">
        <v>291</v>
      </c>
      <c r="D96" s="1" t="s">
        <v>291</v>
      </c>
      <c r="E96">
        <v>18.312000000000001</v>
      </c>
      <c r="F96" s="1" t="s">
        <v>313</v>
      </c>
      <c r="G96" s="1" t="s">
        <v>488</v>
      </c>
      <c r="H96">
        <v>2.3E-3</v>
      </c>
      <c r="I96">
        <v>6.3799999999999996E-2</v>
      </c>
      <c r="J96">
        <v>1.55E-2</v>
      </c>
    </row>
    <row r="97" spans="1:10" x14ac:dyDescent="0.2">
      <c r="A97">
        <v>96</v>
      </c>
      <c r="B97" s="1" t="s">
        <v>17</v>
      </c>
      <c r="C97" s="1" t="s">
        <v>281</v>
      </c>
      <c r="D97" s="1" t="s">
        <v>282</v>
      </c>
      <c r="E97">
        <v>13.641299999999999</v>
      </c>
      <c r="F97" s="1" t="s">
        <v>313</v>
      </c>
      <c r="G97" s="1" t="s">
        <v>489</v>
      </c>
      <c r="H97">
        <v>2.9999999999999997E-4</v>
      </c>
      <c r="I97">
        <v>3.39E-2</v>
      </c>
      <c r="J97">
        <v>3.0800000000000001E-2</v>
      </c>
    </row>
    <row r="98" spans="1:10" x14ac:dyDescent="0.2">
      <c r="A98">
        <v>97</v>
      </c>
      <c r="B98" s="1" t="s">
        <v>17</v>
      </c>
      <c r="C98" s="1" t="s">
        <v>283</v>
      </c>
      <c r="D98" s="1" t="s">
        <v>284</v>
      </c>
      <c r="E98">
        <v>5.2812000000000001</v>
      </c>
      <c r="F98" s="1" t="s">
        <v>339</v>
      </c>
      <c r="G98" s="1" t="s">
        <v>490</v>
      </c>
      <c r="H98">
        <v>2.9999999999999997E-4</v>
      </c>
      <c r="I98">
        <v>-2.07E-2</v>
      </c>
      <c r="J98">
        <v>8.0000000000000002E-3</v>
      </c>
    </row>
    <row r="99" spans="1:10" x14ac:dyDescent="0.2">
      <c r="A99">
        <v>98</v>
      </c>
      <c r="B99" s="1" t="s">
        <v>17</v>
      </c>
      <c r="C99" s="1" t="s">
        <v>268</v>
      </c>
      <c r="D99" s="1" t="s">
        <v>269</v>
      </c>
      <c r="E99">
        <v>31.452400000000001</v>
      </c>
      <c r="F99" s="1" t="s">
        <v>325</v>
      </c>
      <c r="G99" s="1" t="s">
        <v>491</v>
      </c>
      <c r="H99">
        <v>4.0000000000000002E-4</v>
      </c>
      <c r="I99">
        <v>-1.52E-2</v>
      </c>
      <c r="J99">
        <v>-6.25E-2</v>
      </c>
    </row>
    <row r="100" spans="1:10" x14ac:dyDescent="0.2">
      <c r="A100">
        <v>99</v>
      </c>
      <c r="B100" s="1" t="s">
        <v>17</v>
      </c>
      <c r="C100" s="1" t="s">
        <v>277</v>
      </c>
      <c r="D100" s="1" t="s">
        <v>278</v>
      </c>
      <c r="E100">
        <v>7.3826000000000001</v>
      </c>
      <c r="F100" s="1" t="s">
        <v>311</v>
      </c>
      <c r="G100" s="1" t="s">
        <v>492</v>
      </c>
      <c r="H100">
        <v>1.8E-3</v>
      </c>
      <c r="I100">
        <v>8.5000000000000006E-3</v>
      </c>
      <c r="J100">
        <v>-6.7000000000000004E-2</v>
      </c>
    </row>
    <row r="101" spans="1:10" x14ac:dyDescent="0.2">
      <c r="A101">
        <v>100</v>
      </c>
      <c r="B101" s="1" t="s">
        <v>17</v>
      </c>
      <c r="C101" s="1" t="s">
        <v>314</v>
      </c>
      <c r="D101" s="1" t="s">
        <v>314</v>
      </c>
      <c r="E101">
        <v>6.2649999999999997E-2</v>
      </c>
      <c r="F101" s="1" t="s">
        <v>317</v>
      </c>
      <c r="G101" s="1" t="s">
        <v>493</v>
      </c>
      <c r="H101">
        <v>3.0999999999999999E-3</v>
      </c>
      <c r="I101">
        <v>1.66E-2</v>
      </c>
      <c r="J101">
        <v>-1E-4</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91C76E-69AD-45D6-8DBD-DB34F0B2F2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Planilhas</vt:lpstr>
      </vt:variant>
      <vt:variant>
        <vt:i4>3</vt:i4>
      </vt:variant>
    </vt:vector>
  </HeadingPairs>
  <TitlesOfParts>
    <vt:vector size="3" baseType="lpstr">
      <vt:lpstr>Ativos</vt:lpstr>
      <vt:lpstr>Cotações das Moedas</vt:lpstr>
      <vt:lpstr>Cotação Criptos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Henrique</dc:creator>
  <cp:lastModifiedBy>Diogo Henrique</cp:lastModifiedBy>
  <cp:lastPrinted>2021-04-20T15:24:16Z</cp:lastPrinted>
  <dcterms:created xsi:type="dcterms:W3CDTF">2021-04-19T15:41:48Z</dcterms:created>
  <dcterms:modified xsi:type="dcterms:W3CDTF">2021-04-29T12:32:36Z</dcterms:modified>
</cp:coreProperties>
</file>